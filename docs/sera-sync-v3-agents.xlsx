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Work Package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Phase Checks" sheetId="4" state="visible" r:id="rId4"/>
    <sheet xmlns:r="http://schemas.openxmlformats.org/officeDocument/2006/relationships" name="Models" sheetId="5" state="visible" r:id="rId5"/>
  </sheets>
  <definedNames>
    <definedName name="_xlnm._FilterDatabase" localSheetId="1" hidden="1">'Work Packages'!$A$4:$Q$46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top"/>
    </xf>
    <xf numFmtId="0" fontId="5" fillId="3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top"/>
    </xf>
    <xf numFmtId="9" fontId="5" fillId="0" borderId="1" applyAlignment="1" pivotButton="0" quotePrefix="0" xfId="0">
      <alignment vertical="top" wrapText="1"/>
    </xf>
    <xf numFmtId="0" fontId="4" fillId="0" borderId="0" pivotButton="0" quotePrefix="0" xfId="0"/>
    <xf numFmtId="9" fontId="4" fillId="0" borderId="1" applyAlignment="1" pivotButton="0" quotePrefix="0" xfId="0">
      <alignment vertical="top" wrapText="1"/>
    </xf>
    <xf numFmtId="0" fontId="3" fillId="2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Sera</author>
  </authors>
  <commentList>
    <comment ref="E4" authorId="0" shapeId="0">
      <text>
        <t>WP ids separated by commas. 'Unfinished deps' counts the ones whose Status is not Done.</t>
      </text>
    </comment>
    <comment ref="N4" authorId="0" shapeId="0">
      <text>
        <t>Checks 'Model used' against the Models sheet for this WP's tier.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workbook</t>
        </is>
      </c>
    </row>
    <row r="2">
      <c r="A2" s="2" t="inlineStr"/>
    </row>
    <row r="3">
      <c r="A3" s="3" t="inlineStr">
        <is>
          <t>You normally don't edit this file. The agents update it with tools/sync_v3_tracker.py (blueprint §8).</t>
        </is>
      </c>
    </row>
    <row r="4">
      <c r="A4" s="3" t="inlineStr">
        <is>
          <t>Close this file in Excel before starting an agent session: it can't save while Excel has it open.</t>
        </is>
      </c>
    </row>
    <row r="5">
      <c r="A5" s="2" t="inlineStr"/>
    </row>
    <row r="6">
      <c r="A6" s="3" t="inlineStr">
        <is>
          <t>What the agents write:</t>
        </is>
      </c>
    </row>
    <row r="7">
      <c r="A7" s="2" t="inlineStr">
        <is>
          <t>• Implementing agent: Status = In progress + Model used when it starts; Status = In review + Notes when it finishes.</t>
        </is>
      </c>
    </row>
    <row r="8">
      <c r="A8" s="2" t="inlineStr">
        <is>
          <t>• Reviewing agent (Fable 5.1 / Opus 5.5): Reviewed by.</t>
        </is>
      </c>
    </row>
    <row r="9">
      <c r="A9" s="2" t="inlineStr">
        <is>
          <t>• Committing agent: Status = Done + Commit. The tool refuses Done without a commit, or without the review when one is required.</t>
        </is>
      </c>
    </row>
    <row r="10">
      <c r="A10" s="2" t="inlineStr">
        <is>
          <t>• The tool also refuses a model that isn't allowed for the WP's tier, and starting a WP whose dependencies aren't Done.</t>
        </is>
      </c>
    </row>
    <row r="11">
      <c r="A11" s="2" t="inlineStr"/>
    </row>
    <row r="12">
      <c r="A12" s="3" t="inlineStr">
        <is>
          <t>What you do:</t>
        </is>
      </c>
    </row>
    <row r="13">
      <c r="A13" s="2" t="inlineStr">
        <is>
          <t>1. Pick a WP whose 'Ready?' is green (or look at Summary → Next ready WP).</t>
        </is>
      </c>
    </row>
    <row r="14">
      <c r="A14" s="2" t="inlineStr">
        <is>
          <t>2. Start a fresh chat with a model allowed for its tier and paste the prompt from blueprint §8.1.</t>
        </is>
      </c>
    </row>
    <row r="15">
      <c r="A15" s="2" t="inlineStr">
        <is>
          <t>3. After a phase: do the Phase Checks. Record results yourself, or tell an agent e.g. 'mark phase check 3 as Pass'.</t>
        </is>
      </c>
    </row>
    <row r="16">
      <c r="A16" s="2" t="inlineStr"/>
    </row>
    <row r="17">
      <c r="A17" s="4" t="inlineStr">
        <is>
          <t>Editing by hand is still fine: yellow cells only. Everything else is copied from the blueprint or calculated.</t>
        </is>
      </c>
    </row>
    <row r="18">
      <c r="A18" s="2" t="inlineStr">
        <is>
          <t>Statuses: Not started · In progress · In review · Done · Blocked (Blocked rows turn red).</t>
        </is>
      </c>
    </row>
    <row r="19">
      <c r="A19" s="2" t="inlineStr">
        <is>
          <t>Tiers: T1 mechanical · T2 standard · T3 expert (crypto, concurrency, data migration — Claude Fable/Opus only).</t>
        </is>
      </c>
    </row>
    <row r="20">
      <c r="A20" s="2" t="inlineStr"/>
    </row>
    <row r="21">
      <c r="A21" s="3" t="inlineStr">
        <is>
          <t>Example of a finished row (not part of the tracker):</t>
        </is>
      </c>
    </row>
    <row r="22">
      <c r="A22" s="4" t="inlineStr">
        <is>
          <t>P0-1 | Status: Done | Model used: Claude Haiku 4.5 | Reviewed by: (none needed) | Commit: 1a2b3c4 | Notes: 2026-09-24: debounce set to 60 s</t>
        </is>
      </c>
    </row>
    <row r="23">
      <c r="A23" s="2" t="inlineStr"/>
    </row>
    <row r="24">
      <c r="A24" s="4" t="inlineStr">
        <is>
          <t>If the blueprint's §3 table changes (doc version bump), ask Claude to regenerate this workbook and carry your entries over.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46" customWidth="1" min="3" max="3"/>
    <col width="6" customWidth="1" min="4" max="4"/>
    <col width="22" customWidth="1" min="5" max="5"/>
    <col width="26" customWidth="1" min="6" max="6"/>
    <col width="22" customWidth="1" min="7" max="7"/>
    <col width="22" customWidth="1" min="8" max="8"/>
    <col width="30" customWidth="1" min="9" max="9"/>
    <col width="13" customWidth="1" min="10" max="10"/>
    <col width="14" customWidth="1" min="11" max="11"/>
    <col width="10" customWidth="1" min="12" max="12"/>
    <col width="22" customWidth="1" min="13" max="13"/>
    <col width="16" customWidth="1" min="14" max="14"/>
    <col width="18" customWidth="1" min="15" max="15"/>
    <col width="12" customWidth="1" min="16" max="16"/>
    <col width="36" customWidth="1" min="17" max="17"/>
    <col hidden="1" width="13" customWidth="1" min="18" max="18"/>
  </cols>
  <sheetData>
    <row r="1">
      <c r="A1" s="5" t="inlineStr">
        <is>
          <t>Sera Sync v3 — work packages</t>
        </is>
      </c>
    </row>
    <row r="2">
      <c r="A2" s="6" t="inlineStr">
        <is>
          <t>Yellow columns are yours to fill in. Everything else comes from docs/sera-sync-v3-blueprint.md §3 or is calculated. Workflow: blueprint §8.</t>
        </is>
      </c>
    </row>
    <row r="4">
      <c r="A4" s="7" t="inlineStr">
        <is>
          <t>WP</t>
        </is>
      </c>
      <c r="B4" s="7" t="inlineStr">
        <is>
          <t>Phase</t>
        </is>
      </c>
      <c r="C4" s="7" t="inlineStr">
        <is>
          <t>What</t>
        </is>
      </c>
      <c r="D4" s="7" t="inlineStr">
        <is>
          <t>Tier</t>
        </is>
      </c>
      <c r="E4" s="7" t="inlineStr">
        <is>
          <t>Depends on</t>
        </is>
      </c>
      <c r="F4" s="7" t="inlineStr">
        <is>
          <t>Dependency note</t>
        </is>
      </c>
      <c r="G4" s="7" t="inlineStr">
        <is>
          <t>Review before merge</t>
        </is>
      </c>
      <c r="H4" s="7" t="inlineStr">
        <is>
          <t>Recommended Claude</t>
        </is>
      </c>
      <c r="I4" s="7" t="inlineStr">
        <is>
          <t>Gemini allowed</t>
        </is>
      </c>
      <c r="J4" s="7" t="inlineStr">
        <is>
          <t>Status</t>
        </is>
      </c>
      <c r="K4" s="7" t="inlineStr">
        <is>
          <t>Ready?</t>
        </is>
      </c>
      <c r="L4" s="7" t="inlineStr">
        <is>
          <t>Unfinished deps</t>
        </is>
      </c>
      <c r="M4" s="7" t="inlineStr">
        <is>
          <t>Model used</t>
        </is>
      </c>
      <c r="N4" s="7" t="inlineStr">
        <is>
          <t>Model allowed?</t>
        </is>
      </c>
      <c r="O4" s="7" t="inlineStr">
        <is>
          <t>Reviewed by</t>
        </is>
      </c>
      <c r="P4" s="7" t="inlineStr">
        <is>
          <t>Commit</t>
        </is>
      </c>
      <c r="Q4" s="7" t="inlineStr">
        <is>
          <t>Notes</t>
        </is>
      </c>
      <c r="R4" s="6" t="inlineStr">
        <is>
          <t>helper</t>
        </is>
      </c>
    </row>
    <row r="5">
      <c r="A5" s="8" t="inlineStr">
        <is>
          <t>P0-1</t>
        </is>
      </c>
      <c r="B5" s="9" t="n">
        <v>0</v>
      </c>
      <c r="C5" s="10" t="inlineStr">
        <is>
          <t>Stop sending the whole DB after every edit</t>
        </is>
      </c>
      <c r="D5" s="11" t="inlineStr">
        <is>
          <t>T1</t>
        </is>
      </c>
      <c r="E5" s="10" t="inlineStr"/>
      <c r="F5" s="10" t="inlineStr"/>
      <c r="G5" s="10" t="inlineStr">
        <is>
          <t>No</t>
        </is>
      </c>
      <c r="H5" s="10">
        <f>INDEX(Models!$C$29:$C$31,MATCH(D5,Models!$A$29:$A$31,0))</f>
        <v/>
      </c>
      <c r="I5" s="10">
        <f>INDEX(Models!$D$29:$D$31,MATCH(D5,Models!$A$29:$A$31,0))</f>
        <v/>
      </c>
      <c r="J5" s="12" t="inlineStr">
        <is>
          <t>Done</t>
        </is>
      </c>
      <c r="K5" s="10">
        <f>IF(J5="Done","Done",IF(L5=0,"Ready","Waiting on "&amp;L5))</f>
        <v/>
      </c>
      <c r="L5" s="10">
        <f>IF(E5="",0,SUMPRODUCT(ISNUMBER(SEARCH(","&amp;$A$5:$A$46&amp;",",","&amp;SUBSTITUTE(E5," ","")&amp;","))*($J$5:$J$46&lt;&gt;"Done")))</f>
        <v/>
      </c>
      <c r="M5" s="12" t="inlineStr">
        <is>
          <t>Gemini 3.1 Pro</t>
        </is>
      </c>
      <c r="N5" s="10">
        <f>IF(M5="","",IFERROR(IF(INDEX(Models!$E$5:$G$19,MATCH(M5,Models!$A$5:$A$19,0),VALUE(RIGHT(D5,1)))="Yes","OK",IF(INDEX(Models!$E$5:$G$19,MATCH(M5,Models!$A$5:$A$19,0),VALUE(RIGHT(D5,1)))="Caution","Needs T3 review","NOT ALLOWED")),"Unknown model"))</f>
        <v/>
      </c>
      <c r="O5" s="12" t="inlineStr">
        <is>
          <t>Claude Opus 5.5</t>
        </is>
      </c>
      <c r="P5" s="12" t="inlineStr">
        <is>
          <t>df7a850</t>
        </is>
      </c>
      <c r="Q5" s="12" t="inlineStr">
        <is>
          <t>2026-09-23: Re-reviewed fixes: applied timing bug fix, restored changelog</t>
        </is>
      </c>
      <c r="R5" s="10">
        <f>IF(K5="Ready",B5,"")</f>
        <v/>
      </c>
    </row>
    <row r="6">
      <c r="A6" s="8" t="inlineStr">
        <is>
          <t>P0-2</t>
        </is>
      </c>
      <c r="B6" s="9" t="n">
        <v>0</v>
      </c>
      <c r="C6" s="10" t="inlineStr">
        <is>
          <t>Fix get_sync_metrics (is_deleted → is_archived)</t>
        </is>
      </c>
      <c r="D6" s="11" t="inlineStr">
        <is>
          <t>T1</t>
        </is>
      </c>
      <c r="E6" s="10" t="inlineStr">
        <is>
          <t>P0-1</t>
        </is>
      </c>
      <c r="F6" s="10" t="inlineStr">
        <is>
          <t>Must merge P0-1 first (see blueprint P0-2)</t>
        </is>
      </c>
      <c r="G6" s="10" t="inlineStr">
        <is>
          <t>No</t>
        </is>
      </c>
      <c r="H6" s="10">
        <f>INDEX(Models!$C$29:$C$31,MATCH(D6,Models!$A$29:$A$31,0))</f>
        <v/>
      </c>
      <c r="I6" s="10">
        <f>INDEX(Models!$D$29:$D$31,MATCH(D6,Models!$A$29:$A$31,0))</f>
        <v/>
      </c>
      <c r="J6" s="12" t="inlineStr">
        <is>
          <t>Done</t>
        </is>
      </c>
      <c r="K6" s="10">
        <f>IF(J6="Done","Done",IF(L6=0,"Ready","Waiting on "&amp;L6))</f>
        <v/>
      </c>
      <c r="L6" s="10">
        <f>IF(E6="",0,SUMPRODUCT(ISNUMBER(SEARCH(","&amp;$A$5:$A$46&amp;",",","&amp;SUBSTITUTE(E6," ","")&amp;","))*($J$5:$J$46&lt;&gt;"Done")))</f>
        <v/>
      </c>
      <c r="M6" s="12" t="inlineStr">
        <is>
          <t>Gemini 3.8 Flash</t>
        </is>
      </c>
      <c r="N6" s="10">
        <f>IF(M6="","",IFERROR(IF(INDEX(Models!$E$5:$G$19,MATCH(M6,Models!$A$5:$A$19,0),VALUE(RIGHT(D6,1)))="Yes","OK",IF(INDEX(Models!$E$5:$G$19,MATCH(M6,Models!$A$5:$A$19,0),VALUE(RIGHT(D6,1)))="Caution","Needs T3 review","NOT ALLOWED")),"Unknown model"))</f>
        <v/>
      </c>
      <c r="O6" s="12" t="inlineStr">
        <is>
          <t>Claude Opus 5.5</t>
        </is>
      </c>
      <c r="P6" s="12" t="inlineStr">
        <is>
          <t>6d5051f</t>
        </is>
      </c>
      <c r="Q6" s="12" t="inlineStr">
        <is>
          <t>2026-09-23: Fixed get_sync_metrics is_archived check; 799 passed, 10 pre-existing failed</t>
        </is>
      </c>
      <c r="R6" s="10">
        <f>IF(K6="Ready",B6,"")</f>
        <v/>
      </c>
    </row>
    <row r="7">
      <c r="A7" s="8" t="inlineStr">
        <is>
          <t>P0-3</t>
        </is>
      </c>
      <c r="B7" s="9" t="n">
        <v>0</v>
      </c>
      <c r="C7" s="10" t="inlineStr">
        <is>
          <t>Sender makes a consistent snapshot (sqlcipher_export) and streams it</t>
        </is>
      </c>
      <c r="D7" s="13" t="inlineStr">
        <is>
          <t>T2</t>
        </is>
      </c>
      <c r="E7" s="10" t="inlineStr"/>
      <c r="F7" s="10" t="inlineStr"/>
      <c r="G7" s="10" t="inlineStr">
        <is>
          <t>Yes – Fable 5.1 / Opus 5.5</t>
        </is>
      </c>
      <c r="H7" s="10">
        <f>INDEX(Models!$C$29:$C$31,MATCH(D7,Models!$A$29:$A$31,0))</f>
        <v/>
      </c>
      <c r="I7" s="10">
        <f>INDEX(Models!$D$29:$D$31,MATCH(D7,Models!$A$29:$A$31,0))</f>
        <v/>
      </c>
      <c r="J7" s="12" t="inlineStr">
        <is>
          <t>Done</t>
        </is>
      </c>
      <c r="K7" s="10">
        <f>IF(J7="Done","Done",IF(L7=0,"Ready","Waiting on "&amp;L7))</f>
        <v/>
      </c>
      <c r="L7" s="10">
        <f>IF(E7="",0,SUMPRODUCT(ISNUMBER(SEARCH(","&amp;$A$5:$A$46&amp;",",","&amp;SUBSTITUTE(E7," ","")&amp;","))*($J$5:$J$46&lt;&gt;"Done")))</f>
        <v/>
      </c>
      <c r="M7" s="12" t="inlineStr">
        <is>
          <t>Gemini 3.8 Flash</t>
        </is>
      </c>
      <c r="N7" s="10">
        <f>IF(M7="","",IFERROR(IF(INDEX(Models!$E$5:$G$19,MATCH(M7,Models!$A$5:$A$19,0),VALUE(RIGHT(D7,1)))="Yes","OK",IF(INDEX(Models!$E$5:$G$19,MATCH(M7,Models!$A$5:$A$19,0),VALUE(RIGHT(D7,1)))="Caution","Needs T3 review","NOT ALLOWED")),"Unknown model"))</f>
        <v/>
      </c>
      <c r="O7" s="12" t="inlineStr">
        <is>
          <t>Claude Opus 5.5</t>
        </is>
      </c>
      <c r="P7" s="12" t="inlineStr">
        <is>
          <t>6b38236</t>
        </is>
      </c>
      <c r="Q7" s="12" t="inlineStr">
        <is>
          <t>2026-09-23: make_snapshot (FileExistsError guard) + 1MB stream + prune_outgoing_snapshots, 804 passed / 10 failed</t>
        </is>
      </c>
      <c r="R7" s="10">
        <f>IF(K7="Ready",B7,"")</f>
        <v/>
      </c>
    </row>
    <row r="8">
      <c r="A8" s="8" t="inlineStr">
        <is>
          <t>P0-4</t>
        </is>
      </c>
      <c r="B8" s="9" t="n">
        <v>0</v>
      </c>
      <c r="C8" s="10" t="inlineStr">
        <is>
          <t>Receiver stages the DB and swaps it at start-up, never while running</t>
        </is>
      </c>
      <c r="D8" s="13" t="inlineStr">
        <is>
          <t>T2</t>
        </is>
      </c>
      <c r="E8" s="10" t="inlineStr">
        <is>
          <t>P0-3</t>
        </is>
      </c>
      <c r="F8" s="10" t="inlineStr"/>
      <c r="G8" s="10" t="inlineStr">
        <is>
          <t>Yes – Fable 5.1 / Opus 5.5</t>
        </is>
      </c>
      <c r="H8" s="10">
        <f>INDEX(Models!$C$29:$C$31,MATCH(D8,Models!$A$29:$A$31,0))</f>
        <v/>
      </c>
      <c r="I8" s="10">
        <f>INDEX(Models!$D$29:$D$31,MATCH(D8,Models!$A$29:$A$31,0))</f>
        <v/>
      </c>
      <c r="J8" s="12" t="inlineStr">
        <is>
          <t>Done</t>
        </is>
      </c>
      <c r="K8" s="10">
        <f>IF(J8="Done","Done",IF(L8=0,"Ready","Waiting on "&amp;L8))</f>
        <v/>
      </c>
      <c r="L8" s="10">
        <f>IF(E8="",0,SUMPRODUCT(ISNUMBER(SEARCH(","&amp;$A$5:$A$46&amp;",",","&amp;SUBSTITUTE(E8," ","")&amp;","))*($J$5:$J$46&lt;&gt;"Done")))</f>
        <v/>
      </c>
      <c r="M8" s="12" t="inlineStr">
        <is>
          <t>Gemini 3.8 Flash</t>
        </is>
      </c>
      <c r="N8" s="10">
        <f>IF(M8="","",IFERROR(IF(INDEX(Models!$E$5:$G$19,MATCH(M8,Models!$A$5:$A$19,0),VALUE(RIGHT(D8,1)))="Yes","OK",IF(INDEX(Models!$E$5:$G$19,MATCH(M8,Models!$A$5:$A$19,0),VALUE(RIGHT(D8,1)))="Caution","Needs T3 review","NOT ALLOWED")),"Unknown model"))</f>
        <v/>
      </c>
      <c r="O8" s="12" t="inlineStr">
        <is>
          <t>Claude Opus 5.5</t>
        </is>
      </c>
      <c r="P8" s="12" t="inlineStr">
        <is>
          <t>89c9aa3</t>
        </is>
      </c>
      <c r="Q8" s="12" t="inlineStr">
        <is>
          <t>2026-09-24: Fixed rollback WAL/SHM restoration on failed DB replace; closed RESTART_PENDING concurrency gap; 18/18 hotfix, 10/10 sync passed</t>
        </is>
      </c>
      <c r="R8" s="10">
        <f>IF(K8="Ready",B8,"")</f>
        <v/>
      </c>
    </row>
    <row r="9">
      <c r="A9" s="8" t="inlineStr">
        <is>
          <t>P0-5</t>
        </is>
      </c>
      <c r="B9" s="9" t="n">
        <v>0</v>
      </c>
      <c r="C9" s="10" t="inlineStr">
        <is>
          <t>Start-up checks that sera.key opens the DB; prompts otherwise</t>
        </is>
      </c>
      <c r="D9" s="13" t="inlineStr">
        <is>
          <t>T2</t>
        </is>
      </c>
      <c r="E9" s="10" t="inlineStr"/>
      <c r="F9" s="10" t="inlineStr"/>
      <c r="G9" s="10" t="inlineStr">
        <is>
          <t>No</t>
        </is>
      </c>
      <c r="H9" s="10">
        <f>INDEX(Models!$C$29:$C$31,MATCH(D9,Models!$A$29:$A$31,0))</f>
        <v/>
      </c>
      <c r="I9" s="10">
        <f>INDEX(Models!$D$29:$D$31,MATCH(D9,Models!$A$29:$A$31,0))</f>
        <v/>
      </c>
      <c r="J9" s="12" t="inlineStr">
        <is>
          <t>Done</t>
        </is>
      </c>
      <c r="K9" s="10">
        <f>IF(J9="Done","Done",IF(L9=0,"Ready","Waiting on "&amp;L9))</f>
        <v/>
      </c>
      <c r="L9" s="10">
        <f>IF(E9="",0,SUMPRODUCT(ISNUMBER(SEARCH(","&amp;$A$5:$A$46&amp;",",","&amp;SUBSTITUTE(E9," ","")&amp;","))*($J$5:$J$46&lt;&gt;"Done")))</f>
        <v/>
      </c>
      <c r="M9" s="12" t="inlineStr">
        <is>
          <t>Gemini 3.8 Flash</t>
        </is>
      </c>
      <c r="N9" s="10">
        <f>IF(M9="","",IFERROR(IF(INDEX(Models!$E$5:$G$19,MATCH(M9,Models!$A$5:$A$19,0),VALUE(RIGHT(D9,1)))="Yes","OK",IF(INDEX(Models!$E$5:$G$19,MATCH(M9,Models!$A$5:$A$19,0),VALUE(RIGHT(D9,1)))="Caution","Needs T3 review","NOT ALLOWED")),"Unknown model"))</f>
        <v/>
      </c>
      <c r="O9" s="12" t="inlineStr">
        <is>
          <t>Claude Opus 5.5</t>
        </is>
      </c>
      <c r="P9" s="12" t="inlineStr">
        <is>
          <t>487d6bf</t>
        </is>
      </c>
      <c r="Q9" s="12" t="inlineStr">
        <is>
          <t>2026-09-24: Startup password check, 3-try prompt, failure modal, salt guard, 815 passed / 10 failed. Opus 5.5 review follow-ups done (damaged-DB wording, deviations logged). Don't release before P0-6.</t>
        </is>
      </c>
      <c r="R9" s="10">
        <f>IF(K9="Ready",B9,"")</f>
        <v/>
      </c>
    </row>
    <row r="10">
      <c r="A10" s="8" t="inlineStr">
        <is>
          <t>P0-6</t>
        </is>
      </c>
      <c r="B10" s="9" t="n">
        <v>0</v>
      </c>
      <c r="C10" s="10" t="inlineStr">
        <is>
          <t>First-run "New office / Join office" + legacy join with on-screen approval</t>
        </is>
      </c>
      <c r="D10" s="13" t="inlineStr">
        <is>
          <t>T2</t>
        </is>
      </c>
      <c r="E10" s="10" t="inlineStr">
        <is>
          <t>P0-3,P0-4,P0-5</t>
        </is>
      </c>
      <c r="F10" s="10" t="inlineStr"/>
      <c r="G10" s="10" t="inlineStr">
        <is>
          <t>Yes – Fable 5.1 / Opus 5.5</t>
        </is>
      </c>
      <c r="H10" s="10">
        <f>INDEX(Models!$C$29:$C$31,MATCH(D10,Models!$A$29:$A$31,0))</f>
        <v/>
      </c>
      <c r="I10" s="10">
        <f>INDEX(Models!$D$29:$D$31,MATCH(D10,Models!$A$29:$A$31,0))</f>
        <v/>
      </c>
      <c r="J10" s="12" t="inlineStr">
        <is>
          <t>Done</t>
        </is>
      </c>
      <c r="K10" s="10">
        <f>IF(J10="Done","Done",IF(L10=0,"Ready","Waiting on "&amp;L10))</f>
        <v/>
      </c>
      <c r="L10" s="10">
        <f>IF(E10="",0,SUMPRODUCT(ISNUMBER(SEARCH(","&amp;$A$5:$A$46&amp;",",","&amp;SUBSTITUTE(E10," ","")&amp;","))*($J$5:$J$46&lt;&gt;"Done")))</f>
        <v/>
      </c>
      <c r="M10" s="12" t="inlineStr">
        <is>
          <t>Gemini 3.8 Flash</t>
        </is>
      </c>
      <c r="N10" s="10">
        <f>IF(M10="","",IFERROR(IF(INDEX(Models!$E$5:$G$19,MATCH(M10,Models!$A$5:$A$19,0),VALUE(RIGHT(D10,1)))="Yes","OK",IF(INDEX(Models!$E$5:$G$19,MATCH(M10,Models!$A$5:$A$19,0),VALUE(RIGHT(D10,1)))="Caution","Needs T3 review","NOT ALLOWED")),"Unknown model"))</f>
        <v/>
      </c>
      <c r="O10" s="12" t="inlineStr">
        <is>
          <t>Claude Opus 5.5</t>
        </is>
      </c>
      <c r="P10" s="12" t="inlineStr">
        <is>
          <t>832b053</t>
        </is>
      </c>
      <c r="Q10" s="12" t="inlineStr">
        <is>
          <t>2026-09-24: First-run New/Join office with on-screen modal approval, snapshot streaming, password verification, 7 new tests passed (837/10)</t>
        </is>
      </c>
      <c r="R10" s="10">
        <f>IF(K10="Ready",B10,"")</f>
        <v/>
      </c>
    </row>
    <row r="11">
      <c r="A11" s="8" t="inlineStr">
        <is>
          <t>P0-7</t>
        </is>
      </c>
      <c r="B11" s="9" t="n">
        <v>0</v>
      </c>
      <c r="C11" s="10" t="inlineStr">
        <is>
          <t>Authenticate legacy sync messages (HMAC)</t>
        </is>
      </c>
      <c r="D11" s="13" t="inlineStr">
        <is>
          <t>T2</t>
        </is>
      </c>
      <c r="E11" s="10" t="inlineStr">
        <is>
          <t>P0-6</t>
        </is>
      </c>
      <c r="F11" s="10" t="inlineStr"/>
      <c r="G11" s="10" t="inlineStr">
        <is>
          <t>Yes – Fable 5.1 / Opus 5.5</t>
        </is>
      </c>
      <c r="H11" s="10">
        <f>INDEX(Models!$C$29:$C$31,MATCH(D11,Models!$A$29:$A$31,0))</f>
        <v/>
      </c>
      <c r="I11" s="10">
        <f>INDEX(Models!$D$29:$D$31,MATCH(D11,Models!$A$29:$A$31,0))</f>
        <v/>
      </c>
      <c r="J11" s="12" t="inlineStr">
        <is>
          <t>Done</t>
        </is>
      </c>
      <c r="K11" s="10">
        <f>IF(J11="Done","Done",IF(L11=0,"Ready","Waiting on "&amp;L11))</f>
        <v/>
      </c>
      <c r="L11" s="10">
        <f>IF(E11="",0,SUMPRODUCT(ISNUMBER(SEARCH(","&amp;$A$5:$A$46&amp;",",","&amp;SUBSTITUTE(E11," ","")&amp;","))*($J$5:$J$46&lt;&gt;"Done")))</f>
        <v/>
      </c>
      <c r="M11" s="12" t="inlineStr">
        <is>
          <t>Claude Sonnet 5</t>
        </is>
      </c>
      <c r="N11" s="10">
        <f>IF(M11="","",IFERROR(IF(INDEX(Models!$E$5:$G$19,MATCH(M11,Models!$A$5:$A$19,0),VALUE(RIGHT(D11,1)))="Yes","OK",IF(INDEX(Models!$E$5:$G$19,MATCH(M11,Models!$A$5:$A$19,0),VALUE(RIGHT(D11,1)))="Caution","Needs T3 review","NOT ALLOWED")),"Unknown model"))</f>
        <v/>
      </c>
      <c r="O11" s="12" t="inlineStr">
        <is>
          <t>Claude Opus 5.5</t>
        </is>
      </c>
      <c r="P11" s="12" t="inlineStr">
        <is>
          <t>89d7cfc</t>
        </is>
      </c>
      <c r="Q11" s="12" t="inlineStr">
        <is>
          <t>2026-09-24: HMAC auth as before, plus a rollout-compatibility follow-up: rejection of a pre-P0-7 peer now carries an advisory hint (reason unchanged) and §6/§7 document the simultaneous-upgrade requirement.</t>
        </is>
      </c>
      <c r="R11" s="10">
        <f>IF(K11="Ready",B11,"")</f>
        <v/>
      </c>
    </row>
    <row r="12">
      <c r="A12" s="8" t="inlineStr">
        <is>
          <t>P0-8</t>
        </is>
      </c>
      <c r="B12" s="9" t="n">
        <v>0</v>
      </c>
      <c r="C12" s="10" t="inlineStr">
        <is>
          <t>rawPayload.db auto-heal: visible alert + audit entry</t>
        </is>
      </c>
      <c r="D12" s="11" t="inlineStr">
        <is>
          <t>T1</t>
        </is>
      </c>
      <c r="E12" s="10" t="inlineStr"/>
      <c r="F12" s="10" t="inlineStr"/>
      <c r="G12" s="10" t="inlineStr">
        <is>
          <t>No</t>
        </is>
      </c>
      <c r="H12" s="10">
        <f>INDEX(Models!$C$29:$C$31,MATCH(D12,Models!$A$29:$A$31,0))</f>
        <v/>
      </c>
      <c r="I12" s="10">
        <f>INDEX(Models!$D$29:$D$31,MATCH(D12,Models!$A$29:$A$31,0))</f>
        <v/>
      </c>
      <c r="J12" s="12" t="inlineStr">
        <is>
          <t>Done</t>
        </is>
      </c>
      <c r="K12" s="10">
        <f>IF(J12="Done","Done",IF(L12=0,"Ready","Waiting on "&amp;L12))</f>
        <v/>
      </c>
      <c r="L12" s="10">
        <f>IF(E12="",0,SUMPRODUCT(ISNUMBER(SEARCH(","&amp;$A$5:$A$46&amp;",",","&amp;SUBSTITUTE(E12," ","")&amp;","))*($J$5:$J$46&lt;&gt;"Done")))</f>
        <v/>
      </c>
      <c r="M12" s="12" t="inlineStr">
        <is>
          <t>Claude Haiku 4.5</t>
        </is>
      </c>
      <c r="N12" s="10">
        <f>IF(M12="","",IFERROR(IF(INDEX(Models!$E$5:$G$19,MATCH(M12,Models!$A$5:$A$19,0),VALUE(RIGHT(D12,1)))="Yes","OK",IF(INDEX(Models!$E$5:$G$19,MATCH(M12,Models!$A$5:$A$19,0),VALUE(RIGHT(D12,1)))="Caution","Needs T3 review","NOT ALLOWED")),"Unknown model"))</f>
        <v/>
      </c>
      <c r="O12" s="12" t="inlineStr">
        <is>
          <t>Claude Opus 5.5</t>
        </is>
      </c>
      <c r="P12" s="12" t="inlineStr">
        <is>
          <t>7250dd4</t>
        </is>
      </c>
      <c r="Q12" s="12" t="inlineStr">
        <is>
          <t>2026-09-23: Added raw_db_was_reset tracking, audit log entry, and UI alert when auto-heal occurs. Test passes, no deviations from spec.</t>
        </is>
      </c>
      <c r="R12" s="10">
        <f>IF(K12="Ready",B12,"")</f>
        <v/>
      </c>
    </row>
    <row r="13">
      <c r="A13" s="8" t="inlineStr">
        <is>
          <t>P0-9a</t>
        </is>
      </c>
      <c r="B13" s="9" t="n">
        <v>0</v>
      </c>
      <c r="C13" s="10" t="inlineStr">
        <is>
          <t>Installer firewall rules (Private + Domain)</t>
        </is>
      </c>
      <c r="D13" s="11" t="inlineStr">
        <is>
          <t>T1</t>
        </is>
      </c>
      <c r="E13" s="10" t="inlineStr"/>
      <c r="F13" s="10" t="inlineStr"/>
      <c r="G13" s="10" t="inlineStr">
        <is>
          <t>No</t>
        </is>
      </c>
      <c r="H13" s="10">
        <f>INDEX(Models!$C$29:$C$31,MATCH(D13,Models!$A$29:$A$31,0))</f>
        <v/>
      </c>
      <c r="I13" s="10">
        <f>INDEX(Models!$D$29:$D$31,MATCH(D13,Models!$A$29:$A$31,0))</f>
        <v/>
      </c>
      <c r="J13" s="12" t="inlineStr">
        <is>
          <t>Done</t>
        </is>
      </c>
      <c r="K13" s="10">
        <f>IF(J13="Done","Done",IF(L13=0,"Ready","Waiting on "&amp;L13))</f>
        <v/>
      </c>
      <c r="L13" s="10">
        <f>IF(E13="",0,SUMPRODUCT(ISNUMBER(SEARCH(","&amp;$A$5:$A$46&amp;",",","&amp;SUBSTITUTE(E13," ","")&amp;","))*($J$5:$J$46&lt;&gt;"Done")))</f>
        <v/>
      </c>
      <c r="M13" s="12" t="inlineStr">
        <is>
          <t>Gemini 3.8 Flash</t>
        </is>
      </c>
      <c r="N13" s="10">
        <f>IF(M13="","",IFERROR(IF(INDEX(Models!$E$5:$G$19,MATCH(M13,Models!$A$5:$A$19,0),VALUE(RIGHT(D13,1)))="Yes","OK",IF(INDEX(Models!$E$5:$G$19,MATCH(M13,Models!$A$5:$A$19,0),VALUE(RIGHT(D13,1)))="Caution","Needs T3 review","NOT ALLOWED")),"Unknown model"))</f>
        <v/>
      </c>
      <c r="O13" s="12" t="inlineStr">
        <is>
          <t>Claude Opus 5.5</t>
        </is>
      </c>
      <c r="P13" s="12" t="inlineStr">
        <is>
          <t>faa61d6</t>
        </is>
      </c>
      <c r="Q13" s="12" t="inlineStr">
        <is>
          <t>2026-09-24: Installer firewall rules added with pre-emptive delete on upgrade and RunOnceId; test_installer_firewall_rules passed</t>
        </is>
      </c>
      <c r="R13" s="10">
        <f>IF(K13="Ready",B13,"")</f>
        <v/>
      </c>
    </row>
    <row r="14">
      <c r="A14" s="8" t="inlineStr">
        <is>
          <t>P0-9b</t>
        </is>
      </c>
      <c r="B14" s="9" t="n">
        <v>0</v>
      </c>
      <c r="C14" s="10" t="inlineStr">
        <is>
          <t>In-app warning when the network profile is Public</t>
        </is>
      </c>
      <c r="D14" s="13" t="inlineStr">
        <is>
          <t>T2</t>
        </is>
      </c>
      <c r="E14" s="10" t="inlineStr"/>
      <c r="F14" s="10" t="inlineStr"/>
      <c r="G14" s="10" t="inlineStr">
        <is>
          <t>No</t>
        </is>
      </c>
      <c r="H14" s="10">
        <f>INDEX(Models!$C$29:$C$31,MATCH(D14,Models!$A$29:$A$31,0))</f>
        <v/>
      </c>
      <c r="I14" s="10">
        <f>INDEX(Models!$D$29:$D$31,MATCH(D14,Models!$A$29:$A$31,0))</f>
        <v/>
      </c>
      <c r="J14" s="12" t="inlineStr">
        <is>
          <t>Done</t>
        </is>
      </c>
      <c r="K14" s="10">
        <f>IF(J14="Done","Done",IF(L14=0,"Ready","Waiting on "&amp;L14))</f>
        <v/>
      </c>
      <c r="L14" s="10">
        <f>IF(E14="",0,SUMPRODUCT(ISNUMBER(SEARCH(","&amp;$A$5:$A$46&amp;",",","&amp;SUBSTITUTE(E14," ","")&amp;","))*($J$5:$J$46&lt;&gt;"Done")))</f>
        <v/>
      </c>
      <c r="M14" s="12" t="inlineStr">
        <is>
          <t>Claude Sonnet 5</t>
        </is>
      </c>
      <c r="N14" s="10">
        <f>IF(M14="","",IFERROR(IF(INDEX(Models!$E$5:$G$19,MATCH(M14,Models!$A$5:$A$19,0),VALUE(RIGHT(D14,1)))="Yes","OK",IF(INDEX(Models!$E$5:$G$19,MATCH(M14,Models!$A$5:$A$19,0),VALUE(RIGHT(D14,1)))="Caution","Needs T3 review","NOT ALLOWED")),"Unknown model"))</f>
        <v/>
      </c>
      <c r="O14" s="12" t="inlineStr">
        <is>
          <t>Claude Opus 5.5</t>
        </is>
      </c>
      <c r="P14" s="12" t="inlineStr">
        <is>
          <t>214a7a9</t>
        </is>
      </c>
      <c r="Q14" s="12" t="inlineStr">
        <is>
          <t>2026-09-24: Fixed reviewer bug #2 (PowerShell numeric NetworkCategory, verified live on Public hotspot); could not reproduce bug #1 (no enable_network_monitor flag exists in current tree); applied 4 hardening items. Full suite: 839 passed/10 failed (all pre-existing).</t>
        </is>
      </c>
      <c r="R14" s="10">
        <f>IF(K14="Ready",B14,"")</f>
        <v/>
      </c>
    </row>
    <row r="15">
      <c r="A15" s="8" t="inlineStr">
        <is>
          <t>P0-10</t>
        </is>
      </c>
      <c r="B15" s="9" t="n">
        <v>0</v>
      </c>
      <c r="C15" s="10" t="inlineStr">
        <is>
          <t>Per-adapter broadcast, "Add PC by IP", peers keyed by host</t>
        </is>
      </c>
      <c r="D15" s="13" t="inlineStr">
        <is>
          <t>T2</t>
        </is>
      </c>
      <c r="E15" s="10" t="inlineStr"/>
      <c r="F15" s="10" t="inlineStr"/>
      <c r="G15" s="10" t="inlineStr">
        <is>
          <t>No</t>
        </is>
      </c>
      <c r="H15" s="10">
        <f>INDEX(Models!$C$29:$C$31,MATCH(D15,Models!$A$29:$A$31,0))</f>
        <v/>
      </c>
      <c r="I15" s="10">
        <f>INDEX(Models!$D$29:$D$31,MATCH(D15,Models!$A$29:$A$31,0))</f>
        <v/>
      </c>
      <c r="J15" s="12" t="inlineStr">
        <is>
          <t>Done</t>
        </is>
      </c>
      <c r="K15" s="10">
        <f>IF(J15="Done","Done",IF(L15=0,"Ready","Waiting on "&amp;L15))</f>
        <v/>
      </c>
      <c r="L15" s="10">
        <f>IF(E15="",0,SUMPRODUCT(ISNUMBER(SEARCH(","&amp;$A$5:$A$46&amp;",",","&amp;SUBSTITUTE(E15," ","")&amp;","))*($J$5:$J$46&lt;&gt;"Done")))</f>
        <v/>
      </c>
      <c r="M15" s="12" t="inlineStr">
        <is>
          <t>Gemini 3.8 Flash</t>
        </is>
      </c>
      <c r="N15" s="10">
        <f>IF(M15="","",IFERROR(IF(INDEX(Models!$E$5:$G$19,MATCH(M15,Models!$A$5:$A$19,0),VALUE(RIGHT(D15,1)))="Yes","OK",IF(INDEX(Models!$E$5:$G$19,MATCH(M15,Models!$A$5:$A$19,0),VALUE(RIGHT(D15,1)))="Caution","Needs T3 review","NOT ALLOWED")),"Unknown model"))</f>
        <v/>
      </c>
      <c r="O15" s="12" t="inlineStr">
        <is>
          <t>Claude Opus 5.5</t>
        </is>
      </c>
      <c r="P15" s="12" t="inlineStr">
        <is>
          <t>66feefe</t>
        </is>
      </c>
      <c r="Q15" s="12" t="inlineStr">
        <is>
          <t>2026-09-24: Review fixes: 10s beacon interval (anti-flap), port 1-65535 validation, per-peer exception isolation, listener guard, rate-limited replies</t>
        </is>
      </c>
      <c r="R15" s="10">
        <f>IF(K15="Ready",B15,"")</f>
        <v/>
      </c>
    </row>
    <row r="16">
      <c r="A16" s="8" t="inlineStr">
        <is>
          <t>P0-11</t>
        </is>
      </c>
      <c r="B16" s="9" t="n">
        <v>0</v>
      </c>
      <c r="C16" s="10" t="inlineStr">
        <is>
          <t>Docs: operations-sync.md update</t>
        </is>
      </c>
      <c r="D16" s="11" t="inlineStr">
        <is>
          <t>T1</t>
        </is>
      </c>
      <c r="E16" s="10" t="inlineStr">
        <is>
          <t>P0-1,P0-10</t>
        </is>
      </c>
      <c r="F16" s="10" t="inlineStr"/>
      <c r="G16" s="10" t="inlineStr">
        <is>
          <t>No</t>
        </is>
      </c>
      <c r="H16" s="10">
        <f>INDEX(Models!$C$29:$C$31,MATCH(D16,Models!$A$29:$A$31,0))</f>
        <v/>
      </c>
      <c r="I16" s="10">
        <f>INDEX(Models!$D$29:$D$31,MATCH(D16,Models!$A$29:$A$31,0))</f>
        <v/>
      </c>
      <c r="J16" s="12" t="inlineStr">
        <is>
          <t>Done</t>
        </is>
      </c>
      <c r="K16" s="10">
        <f>IF(J16="Done","Done",IF(L16=0,"Ready","Waiting on "&amp;L16))</f>
        <v/>
      </c>
      <c r="L16" s="10">
        <f>IF(E16="",0,SUMPRODUCT(ISNUMBER(SEARCH(","&amp;$A$5:$A$46&amp;",",","&amp;SUBSTITUTE(E16," ","")&amp;","))*($J$5:$J$46&lt;&gt;"Done")))</f>
        <v/>
      </c>
      <c r="M16" s="12" t="inlineStr">
        <is>
          <t>Gemini 3.7 Flash</t>
        </is>
      </c>
      <c r="N16" s="10">
        <f>IF(M16="","",IFERROR(IF(INDEX(Models!$E$5:$G$19,MATCH(M16,Models!$A$5:$A$19,0),VALUE(RIGHT(D16,1)))="Yes","OK",IF(INDEX(Models!$E$5:$G$19,MATCH(M16,Models!$A$5:$A$19,0),VALUE(RIGHT(D16,1)))="Caution","Needs T3 review","NOT ALLOWED")),"Unknown model"))</f>
        <v/>
      </c>
      <c r="O16" s="12" t="n"/>
      <c r="P16" s="12" t="inlineStr">
        <is>
          <t>60667de</t>
        </is>
      </c>
      <c r="Q16" s="12" t="inlineStr">
        <is>
          <t>2026-09-24: docs/operations-sync.md updated for Phase 0, full test suite 859 passed / 10 pre-existing failed</t>
        </is>
      </c>
      <c r="R16" s="10">
        <f>IF(K16="Ready",B16,"")</f>
        <v/>
      </c>
    </row>
    <row r="17">
      <c r="A17" s="8" t="inlineStr">
        <is>
          <t>P1-1</t>
        </is>
      </c>
      <c r="B17" s="9" t="n">
        <v>1</v>
      </c>
      <c r="C17" s="10" t="inlineStr">
        <is>
          <t>sera_keys.py: DPAPI, office.json, key id, recovery blob</t>
        </is>
      </c>
      <c r="D17" s="14" t="inlineStr">
        <is>
          <t>T3</t>
        </is>
      </c>
      <c r="E17" s="10" t="inlineStr">
        <is>
          <t>P0-1,P0-2,P0-3,P0-4,P0-5,P0-6,P0-7,P0-8,P0-9a,P0-9b,P0-10,P0-11</t>
        </is>
      </c>
      <c r="F17" s="10" t="inlineStr">
        <is>
          <t>Phase 0 released to all PCs</t>
        </is>
      </c>
      <c r="G17" s="10" t="inlineStr">
        <is>
          <t>Yes – Fable 5.1 / Opus 5.5</t>
        </is>
      </c>
      <c r="H17" s="10">
        <f>INDEX(Models!$C$29:$C$31,MATCH(D17,Models!$A$29:$A$31,0))</f>
        <v/>
      </c>
      <c r="I17" s="10">
        <f>INDEX(Models!$D$29:$D$31,MATCH(D17,Models!$A$29:$A$31,0))</f>
        <v/>
      </c>
      <c r="J17" s="12" t="inlineStr">
        <is>
          <t>Done</t>
        </is>
      </c>
      <c r="K17" s="10">
        <f>IF(J17="Done","Done",IF(L17=0,"Ready","Waiting on "&amp;L17))</f>
        <v/>
      </c>
      <c r="L17" s="10">
        <f>IF(E17="",0,SUMPRODUCT(ISNUMBER(SEARCH(","&amp;$A$5:$A$46&amp;",",","&amp;SUBSTITUTE(E17," ","")&amp;","))*($J$5:$J$46&lt;&gt;"Done")))</f>
        <v/>
      </c>
      <c r="M17" s="12" t="inlineStr">
        <is>
          <t>Claude Opus 5.5</t>
        </is>
      </c>
      <c r="N17" s="10">
        <f>IF(M17="","",IFERROR(IF(INDEX(Models!$E$5:$G$19,MATCH(M17,Models!$A$5:$A$19,0),VALUE(RIGHT(D17,1)))="Yes","OK",IF(INDEX(Models!$E$5:$G$19,MATCH(M17,Models!$A$5:$A$19,0),VALUE(RIGHT(D17,1)))="Caution","Needs T3 review","NOT ALLOWED")),"Unknown model"))</f>
        <v/>
      </c>
      <c r="O17" s="12" t="inlineStr">
        <is>
          <t>Claude Opus 5.5</t>
        </is>
      </c>
      <c r="P17" s="12" t="inlineStr">
        <is>
          <t>773eea7</t>
        </is>
      </c>
      <c r="Q17" s="12" t="inlineStr">
        <is>
          <t>2026-09-24: New sera_keys.py (DPAPI ctypes, Argon2id+AES-GCM wrap, office.json, key id, store/load/recover DEK) + tests/test_sera_keys.py (24); full suite 883 passed / 10 pre-existing failures</t>
        </is>
      </c>
      <c r="R17" s="10">
        <f>IF(K17="Ready",B17,"")</f>
        <v/>
      </c>
    </row>
    <row r="18">
      <c r="A18" s="8" t="inlineStr">
        <is>
          <t>P1-2</t>
        </is>
      </c>
      <c r="B18" s="9" t="n">
        <v>1</v>
      </c>
      <c r="C18" s="10" t="inlineStr">
        <is>
          <t>Start-up key resolution (office mode / legacy mode)</t>
        </is>
      </c>
      <c r="D18" s="13" t="inlineStr">
        <is>
          <t>T2</t>
        </is>
      </c>
      <c r="E18" s="10" t="inlineStr">
        <is>
          <t>P1-1</t>
        </is>
      </c>
      <c r="F18" s="10" t="inlineStr"/>
      <c r="G18" s="10" t="inlineStr">
        <is>
          <t>No</t>
        </is>
      </c>
      <c r="H18" s="10">
        <f>INDEX(Models!$C$29:$C$31,MATCH(D18,Models!$A$29:$A$31,0))</f>
        <v/>
      </c>
      <c r="I18" s="10">
        <f>INDEX(Models!$D$29:$D$31,MATCH(D18,Models!$A$29:$A$31,0))</f>
        <v/>
      </c>
      <c r="J18" s="12" t="inlineStr">
        <is>
          <t>In review</t>
        </is>
      </c>
      <c r="K18" s="10">
        <f>IF(J18="Done","Done",IF(L18=0,"Ready","Waiting on "&amp;L18))</f>
        <v/>
      </c>
      <c r="L18" s="10">
        <f>IF(E18="",0,SUMPRODUCT(ISNUMBER(SEARCH(","&amp;$A$5:$A$46&amp;",",","&amp;SUBSTITUTE(E18," ","")&amp;","))*($J$5:$J$46&lt;&gt;"Done")))</f>
        <v/>
      </c>
      <c r="M18" s="12" t="inlineStr">
        <is>
          <t>Gemini 3.8 Flash</t>
        </is>
      </c>
      <c r="N18" s="10">
        <f>IF(M18="","",IFERROR(IF(INDEX(Models!$E$5:$G$19,MATCH(M18,Models!$A$5:$A$19,0),VALUE(RIGHT(D18,1)))="Yes","OK",IF(INDEX(Models!$E$5:$G$19,MATCH(M18,Models!$A$5:$A$19,0),VALUE(RIGHT(D18,1)))="Caution","Needs T3 review","NOT ALLOWED")),"Unknown model"))</f>
        <v/>
      </c>
      <c r="O18" s="12" t="inlineStr">
        <is>
          <t>Claude Opus 5.5</t>
        </is>
      </c>
      <c r="P18" s="12" t="n"/>
      <c r="Q18" s="12" t="inlineStr">
        <is>
          <t>2026-09-24: Start-up key resolution (office mode DEK vs legacy PBKDF2), 889 passed / 10 pre-existing failed</t>
        </is>
      </c>
      <c r="R18" s="10">
        <f>IF(K18="Ready",B18,"")</f>
        <v/>
      </c>
    </row>
    <row r="19">
      <c r="A19" s="8" t="inlineStr">
        <is>
          <t>P1-3</t>
        </is>
      </c>
      <c r="B19" s="9" t="n">
        <v>1</v>
      </c>
      <c r="C19" s="10" t="inlineStr">
        <is>
          <t>Parsers load the key through sera_keys</t>
        </is>
      </c>
      <c r="D19" s="11" t="inlineStr">
        <is>
          <t>T1</t>
        </is>
      </c>
      <c r="E19" s="10" t="inlineStr">
        <is>
          <t>P1-2</t>
        </is>
      </c>
      <c r="F19" s="10" t="inlineStr"/>
      <c r="G19" s="10" t="inlineStr">
        <is>
          <t>No</t>
        </is>
      </c>
      <c r="H19" s="10">
        <f>INDEX(Models!$C$29:$C$31,MATCH(D19,Models!$A$29:$A$31,0))</f>
        <v/>
      </c>
      <c r="I19" s="10">
        <f>INDEX(Models!$D$29:$D$31,MATCH(D19,Models!$A$29:$A$31,0))</f>
        <v/>
      </c>
      <c r="J19" s="12" t="inlineStr">
        <is>
          <t>Not started</t>
        </is>
      </c>
      <c r="K19" s="10">
        <f>IF(J19="Done","Done",IF(L19=0,"Ready","Waiting on "&amp;L19))</f>
        <v/>
      </c>
      <c r="L19" s="10">
        <f>IF(E19="",0,SUMPRODUCT(ISNUMBER(SEARCH(","&amp;$A$5:$A$46&amp;",",","&amp;SUBSTITUTE(E19," ","")&amp;","))*($J$5:$J$46&lt;&gt;"Done")))</f>
        <v/>
      </c>
      <c r="M19" s="12" t="n"/>
      <c r="N19" s="10">
        <f>IF(M19="","",IFERROR(IF(INDEX(Models!$E$5:$G$19,MATCH(M19,Models!$A$5:$A$19,0),VALUE(RIGHT(D19,1)))="Yes","OK",IF(INDEX(Models!$E$5:$G$19,MATCH(M19,Models!$A$5:$A$19,0),VALUE(RIGHT(D19,1)))="Caution","Needs T3 review","NOT ALLOWED")),"Unknown model"))</f>
        <v/>
      </c>
      <c r="O19" s="12" t="n"/>
      <c r="P19" s="12" t="n"/>
      <c r="Q19" s="12" t="n"/>
      <c r="R19" s="10">
        <f>IF(K19="Ready",B19,"")</f>
        <v/>
      </c>
    </row>
    <row r="20">
      <c r="A20" s="8" t="inlineStr">
        <is>
          <t>P1-4</t>
        </is>
      </c>
      <c r="B20" s="9" t="n">
        <v>1</v>
      </c>
      <c r="C20" s="10" t="inlineStr">
        <is>
          <t>Migration "convert this PC to an office key"</t>
        </is>
      </c>
      <c r="D20" s="14" t="inlineStr">
        <is>
          <t>T3</t>
        </is>
      </c>
      <c r="E20" s="10" t="inlineStr">
        <is>
          <t>P1-2</t>
        </is>
      </c>
      <c r="F20" s="10" t="inlineStr"/>
      <c r="G20" s="10" t="inlineStr">
        <is>
          <t>Yes – Fable 5.1 / Opus 5.5</t>
        </is>
      </c>
      <c r="H20" s="10">
        <f>INDEX(Models!$C$29:$C$31,MATCH(D20,Models!$A$29:$A$31,0))</f>
        <v/>
      </c>
      <c r="I20" s="10">
        <f>INDEX(Models!$D$29:$D$31,MATCH(D20,Models!$A$29:$A$31,0))</f>
        <v/>
      </c>
      <c r="J20" s="12" t="inlineStr">
        <is>
          <t>Not started</t>
        </is>
      </c>
      <c r="K20" s="10">
        <f>IF(J20="Done","Done",IF(L20=0,"Ready","Waiting on "&amp;L20))</f>
        <v/>
      </c>
      <c r="L20" s="10">
        <f>IF(E20="",0,SUMPRODUCT(ISNUMBER(SEARCH(","&amp;$A$5:$A$46&amp;",",","&amp;SUBSTITUTE(E20," ","")&amp;","))*($J$5:$J$46&lt;&gt;"Done")))</f>
        <v/>
      </c>
      <c r="M20" s="12" t="n"/>
      <c r="N20" s="10">
        <f>IF(M20="","",IFERROR(IF(INDEX(Models!$E$5:$G$19,MATCH(M20,Models!$A$5:$A$19,0),VALUE(RIGHT(D20,1)))="Yes","OK",IF(INDEX(Models!$E$5:$G$19,MATCH(M20,Models!$A$5:$A$19,0),VALUE(RIGHT(D20,1)))="Caution","Needs T3 review","NOT ALLOWED")),"Unknown model"))</f>
        <v/>
      </c>
      <c r="O20" s="12" t="n"/>
      <c r="P20" s="12" t="n"/>
      <c r="Q20" s="12" t="n"/>
      <c r="R20" s="10">
        <f>IF(K20="Ready",B20,"")</f>
        <v/>
      </c>
    </row>
    <row r="21">
      <c r="A21" s="8" t="inlineStr">
        <is>
          <t>P1-5</t>
        </is>
      </c>
      <c r="B21" s="9" t="n">
        <v>1</v>
      </c>
      <c r="C21" s="10" t="inlineStr">
        <is>
          <t>Key-fingerprint gate everywhere</t>
        </is>
      </c>
      <c r="D21" s="13" t="inlineStr">
        <is>
          <t>T2</t>
        </is>
      </c>
      <c r="E21" s="10" t="inlineStr">
        <is>
          <t>P1-2</t>
        </is>
      </c>
      <c r="F21" s="10" t="inlineStr"/>
      <c r="G21" s="10" t="inlineStr">
        <is>
          <t>No</t>
        </is>
      </c>
      <c r="H21" s="10">
        <f>INDEX(Models!$C$29:$C$31,MATCH(D21,Models!$A$29:$A$31,0))</f>
        <v/>
      </c>
      <c r="I21" s="10">
        <f>INDEX(Models!$D$29:$D$31,MATCH(D21,Models!$A$29:$A$31,0))</f>
        <v/>
      </c>
      <c r="J21" s="12" t="inlineStr">
        <is>
          <t>Not started</t>
        </is>
      </c>
      <c r="K21" s="10">
        <f>IF(J21="Done","Done",IF(L21=0,"Ready","Waiting on "&amp;L21))</f>
        <v/>
      </c>
      <c r="L21" s="10">
        <f>IF(E21="",0,SUMPRODUCT(ISNUMBER(SEARCH(","&amp;$A$5:$A$46&amp;",",","&amp;SUBSTITUTE(E21," ","")&amp;","))*($J$5:$J$46&lt;&gt;"Done")))</f>
        <v/>
      </c>
      <c r="M21" s="12" t="n"/>
      <c r="N21" s="10">
        <f>IF(M21="","",IFERROR(IF(INDEX(Models!$E$5:$G$19,MATCH(M21,Models!$A$5:$A$19,0),VALUE(RIGHT(D21,1)))="Yes","OK",IF(INDEX(Models!$E$5:$G$19,MATCH(M21,Models!$A$5:$A$19,0),VALUE(RIGHT(D21,1)))="Caution","Needs T3 review","NOT ALLOWED")),"Unknown model"))</f>
        <v/>
      </c>
      <c r="O21" s="12" t="n"/>
      <c r="P21" s="12" t="n"/>
      <c r="Q21" s="12" t="n"/>
      <c r="R21" s="10">
        <f>IF(K21="Ready",B21,"")</f>
        <v/>
      </c>
    </row>
    <row r="22">
      <c r="A22" s="8" t="inlineStr">
        <is>
          <t>P1-6</t>
        </is>
      </c>
      <c r="B22" s="9" t="n">
        <v>1</v>
      </c>
      <c r="C22" s="10" t="inlineStr">
        <is>
          <t>Recovery, recovery kit export, master-password change</t>
        </is>
      </c>
      <c r="D22" s="13" t="inlineStr">
        <is>
          <t>T2</t>
        </is>
      </c>
      <c r="E22" s="10" t="inlineStr">
        <is>
          <t>P1-1</t>
        </is>
      </c>
      <c r="F22" s="10" t="inlineStr"/>
      <c r="G22" s="10" t="inlineStr">
        <is>
          <t>Yes – Fable 5.1 / Opus 5.5</t>
        </is>
      </c>
      <c r="H22" s="10">
        <f>INDEX(Models!$C$29:$C$31,MATCH(D22,Models!$A$29:$A$31,0))</f>
        <v/>
      </c>
      <c r="I22" s="10">
        <f>INDEX(Models!$D$29:$D$31,MATCH(D22,Models!$A$29:$A$31,0))</f>
        <v/>
      </c>
      <c r="J22" s="12" t="inlineStr">
        <is>
          <t>Not started</t>
        </is>
      </c>
      <c r="K22" s="10">
        <f>IF(J22="Done","Done",IF(L22=0,"Ready","Waiting on "&amp;L22))</f>
        <v/>
      </c>
      <c r="L22" s="10">
        <f>IF(E22="",0,SUMPRODUCT(ISNUMBER(SEARCH(","&amp;$A$5:$A$46&amp;",",","&amp;SUBSTITUTE(E22," ","")&amp;","))*($J$5:$J$46&lt;&gt;"Done")))</f>
        <v/>
      </c>
      <c r="M22" s="12" t="n"/>
      <c r="N22" s="10">
        <f>IF(M22="","",IFERROR(IF(INDEX(Models!$E$5:$G$19,MATCH(M22,Models!$A$5:$A$19,0),VALUE(RIGHT(D22,1)))="Yes","OK",IF(INDEX(Models!$E$5:$G$19,MATCH(M22,Models!$A$5:$A$19,0),VALUE(RIGHT(D22,1)))="Caution","Needs T3 review","NOT ALLOWED")),"Unknown model"))</f>
        <v/>
      </c>
      <c r="O22" s="12" t="n"/>
      <c r="P22" s="12" t="n"/>
      <c r="Q22" s="12" t="n"/>
      <c r="R22" s="10">
        <f>IF(K22="Ready",B22,"")</f>
        <v/>
      </c>
    </row>
    <row r="23">
      <c r="A23" s="8" t="inlineStr">
        <is>
          <t>P2-1</t>
        </is>
      </c>
      <c r="B23" s="9" t="n">
        <v>2</v>
      </c>
      <c r="C23" s="10" t="inlineStr">
        <is>
          <t>Device identity + certificates</t>
        </is>
      </c>
      <c r="D23" s="13" t="inlineStr">
        <is>
          <t>T2</t>
        </is>
      </c>
      <c r="E23" s="10" t="inlineStr">
        <is>
          <t>P1-1</t>
        </is>
      </c>
      <c r="F23" s="10" t="inlineStr"/>
      <c r="G23" s="10" t="inlineStr">
        <is>
          <t>Yes – Fable 5.1 / Opus 5.5</t>
        </is>
      </c>
      <c r="H23" s="10">
        <f>INDEX(Models!$C$29:$C$31,MATCH(D23,Models!$A$29:$A$31,0))</f>
        <v/>
      </c>
      <c r="I23" s="10">
        <f>INDEX(Models!$D$29:$D$31,MATCH(D23,Models!$A$29:$A$31,0))</f>
        <v/>
      </c>
      <c r="J23" s="12" t="inlineStr">
        <is>
          <t>Not started</t>
        </is>
      </c>
      <c r="K23" s="10">
        <f>IF(J23="Done","Done",IF(L23=0,"Ready","Waiting on "&amp;L23))</f>
        <v/>
      </c>
      <c r="L23" s="10">
        <f>IF(E23="",0,SUMPRODUCT(ISNUMBER(SEARCH(","&amp;$A$5:$A$46&amp;",",","&amp;SUBSTITUTE(E23," ","")&amp;","))*($J$5:$J$46&lt;&gt;"Done")))</f>
        <v/>
      </c>
      <c r="M23" s="12" t="n"/>
      <c r="N23" s="10">
        <f>IF(M23="","",IFERROR(IF(INDEX(Models!$E$5:$G$19,MATCH(M23,Models!$A$5:$A$19,0),VALUE(RIGHT(D23,1)))="Yes","OK",IF(INDEX(Models!$E$5:$G$19,MATCH(M23,Models!$A$5:$A$19,0),VALUE(RIGHT(D23,1)))="Caution","Needs T3 review","NOT ALLOWED")),"Unknown model"))</f>
        <v/>
      </c>
      <c r="O23" s="12" t="n"/>
      <c r="P23" s="12" t="n"/>
      <c r="Q23" s="12" t="n"/>
      <c r="R23" s="10">
        <f>IF(K23="Ready",B23,"")</f>
        <v/>
      </c>
    </row>
    <row r="24">
      <c r="A24" s="8" t="inlineStr">
        <is>
          <t>P2-2</t>
        </is>
      </c>
      <c r="B24" s="9" t="n">
        <v>2</v>
      </c>
      <c r="C24" s="10" t="inlineStr">
        <is>
          <t>Office admin key, membership records, signatures</t>
        </is>
      </c>
      <c r="D24" s="14" t="inlineStr">
        <is>
          <t>T3</t>
        </is>
      </c>
      <c r="E24" s="10" t="inlineStr">
        <is>
          <t>P2-1</t>
        </is>
      </c>
      <c r="F24" s="10" t="inlineStr"/>
      <c r="G24" s="10" t="inlineStr">
        <is>
          <t>Yes – Fable 5.1 / Opus 5.5</t>
        </is>
      </c>
      <c r="H24" s="10">
        <f>INDEX(Models!$C$29:$C$31,MATCH(D24,Models!$A$29:$A$31,0))</f>
        <v/>
      </c>
      <c r="I24" s="10">
        <f>INDEX(Models!$D$29:$D$31,MATCH(D24,Models!$A$29:$A$31,0))</f>
        <v/>
      </c>
      <c r="J24" s="12" t="inlineStr">
        <is>
          <t>Not started</t>
        </is>
      </c>
      <c r="K24" s="10">
        <f>IF(J24="Done","Done",IF(L24=0,"Ready","Waiting on "&amp;L24))</f>
        <v/>
      </c>
      <c r="L24" s="10">
        <f>IF(E24="",0,SUMPRODUCT(ISNUMBER(SEARCH(","&amp;$A$5:$A$46&amp;",",","&amp;SUBSTITUTE(E24," ","")&amp;","))*($J$5:$J$46&lt;&gt;"Done")))</f>
        <v/>
      </c>
      <c r="M24" s="12" t="n"/>
      <c r="N24" s="10">
        <f>IF(M24="","",IFERROR(IF(INDEX(Models!$E$5:$G$19,MATCH(M24,Models!$A$5:$A$19,0),VALUE(RIGHT(D24,1)))="Yes","OK",IF(INDEX(Models!$E$5:$G$19,MATCH(M24,Models!$A$5:$A$19,0),VALUE(RIGHT(D24,1)))="Caution","Needs T3 review","NOT ALLOWED")),"Unknown model"))</f>
        <v/>
      </c>
      <c r="O24" s="12" t="n"/>
      <c r="P24" s="12" t="n"/>
      <c r="Q24" s="12" t="n"/>
      <c r="R24" s="10">
        <f>IF(K24="Ready",B24,"")</f>
        <v/>
      </c>
    </row>
    <row r="25">
      <c r="A25" s="8" t="inlineStr">
        <is>
          <t>P2-3</t>
        </is>
      </c>
      <c r="B25" s="9" t="n">
        <v>2</v>
      </c>
      <c r="C25" s="10" t="inlineStr">
        <is>
          <t>Mutual-TLS transport + framing</t>
        </is>
      </c>
      <c r="D25" s="14" t="inlineStr">
        <is>
          <t>T3</t>
        </is>
      </c>
      <c r="E25" s="10" t="inlineStr">
        <is>
          <t>P2-1</t>
        </is>
      </c>
      <c r="F25" s="10" t="inlineStr"/>
      <c r="G25" s="10" t="inlineStr">
        <is>
          <t>Yes – Fable 5.1 / Opus 5.5</t>
        </is>
      </c>
      <c r="H25" s="10">
        <f>INDEX(Models!$C$29:$C$31,MATCH(D25,Models!$A$29:$A$31,0))</f>
        <v/>
      </c>
      <c r="I25" s="10">
        <f>INDEX(Models!$D$29:$D$31,MATCH(D25,Models!$A$29:$A$31,0))</f>
        <v/>
      </c>
      <c r="J25" s="12" t="inlineStr">
        <is>
          <t>Not started</t>
        </is>
      </c>
      <c r="K25" s="10">
        <f>IF(J25="Done","Done",IF(L25=0,"Ready","Waiting on "&amp;L25))</f>
        <v/>
      </c>
      <c r="L25" s="10">
        <f>IF(E25="",0,SUMPRODUCT(ISNUMBER(SEARCH(","&amp;$A$5:$A$46&amp;",",","&amp;SUBSTITUTE(E25," ","")&amp;","))*($J$5:$J$46&lt;&gt;"Done")))</f>
        <v/>
      </c>
      <c r="M25" s="12" t="n"/>
      <c r="N25" s="10">
        <f>IF(M25="","",IFERROR(IF(INDEX(Models!$E$5:$G$19,MATCH(M25,Models!$A$5:$A$19,0),VALUE(RIGHT(D25,1)))="Yes","OK",IF(INDEX(Models!$E$5:$G$19,MATCH(M25,Models!$A$5:$A$19,0),VALUE(RIGHT(D25,1)))="Caution","Needs T3 review","NOT ALLOWED")),"Unknown model"))</f>
        <v/>
      </c>
      <c r="O25" s="12" t="n"/>
      <c r="P25" s="12" t="n"/>
      <c r="Q25" s="12" t="n"/>
      <c r="R25" s="10">
        <f>IF(K25="Ready",B25,"")</f>
        <v/>
      </c>
    </row>
    <row r="26">
      <c r="A26" s="8" t="inlineStr">
        <is>
          <t>P2-4</t>
        </is>
      </c>
      <c r="B26" s="9" t="n">
        <v>2</v>
      </c>
      <c r="C26" s="10" t="inlineStr">
        <is>
          <t>Pairing with 6-digit code (SPAKE2)</t>
        </is>
      </c>
      <c r="D26" s="14" t="inlineStr">
        <is>
          <t>T3</t>
        </is>
      </c>
      <c r="E26" s="10" t="inlineStr">
        <is>
          <t>P2-2,P2-3</t>
        </is>
      </c>
      <c r="F26" s="10" t="inlineStr"/>
      <c r="G26" s="10" t="inlineStr">
        <is>
          <t>Yes – Fable 5.1 / Opus 5.5</t>
        </is>
      </c>
      <c r="H26" s="10">
        <f>INDEX(Models!$C$29:$C$31,MATCH(D26,Models!$A$29:$A$31,0))</f>
        <v/>
      </c>
      <c r="I26" s="10">
        <f>INDEX(Models!$D$29:$D$31,MATCH(D26,Models!$A$29:$A$31,0))</f>
        <v/>
      </c>
      <c r="J26" s="12" t="inlineStr">
        <is>
          <t>Not started</t>
        </is>
      </c>
      <c r="K26" s="10">
        <f>IF(J26="Done","Done",IF(L26=0,"Ready","Waiting on "&amp;L26))</f>
        <v/>
      </c>
      <c r="L26" s="10">
        <f>IF(E26="",0,SUMPRODUCT(ISNUMBER(SEARCH(","&amp;$A$5:$A$46&amp;",",","&amp;SUBSTITUTE(E26," ","")&amp;","))*($J$5:$J$46&lt;&gt;"Done")))</f>
        <v/>
      </c>
      <c r="M26" s="12" t="n"/>
      <c r="N26" s="10">
        <f>IF(M26="","",IFERROR(IF(INDEX(Models!$E$5:$G$19,MATCH(M26,Models!$A$5:$A$19,0),VALUE(RIGHT(D26,1)))="Yes","OK",IF(INDEX(Models!$E$5:$G$19,MATCH(M26,Models!$A$5:$A$19,0),VALUE(RIGHT(D26,1)))="Caution","Needs T3 review","NOT ALLOWED")),"Unknown model"))</f>
        <v/>
      </c>
      <c r="O26" s="12" t="n"/>
      <c r="P26" s="12" t="n"/>
      <c r="Q26" s="12" t="n"/>
      <c r="R26" s="10">
        <f>IF(K26="Ready",B26,"")</f>
        <v/>
      </c>
    </row>
    <row r="27">
      <c r="A27" s="8" t="inlineStr">
        <is>
          <t>P2-5</t>
        </is>
      </c>
      <c r="B27" s="9" t="n">
        <v>2</v>
      </c>
      <c r="C27" s="10" t="inlineStr">
        <is>
          <t>Discovery v3, address book, gossip</t>
        </is>
      </c>
      <c r="D27" s="13" t="inlineStr">
        <is>
          <t>T2</t>
        </is>
      </c>
      <c r="E27" s="10" t="inlineStr">
        <is>
          <t>P2-3</t>
        </is>
      </c>
      <c r="F27" s="10" t="inlineStr"/>
      <c r="G27" s="10" t="inlineStr">
        <is>
          <t>No</t>
        </is>
      </c>
      <c r="H27" s="10">
        <f>INDEX(Models!$C$29:$C$31,MATCH(D27,Models!$A$29:$A$31,0))</f>
        <v/>
      </c>
      <c r="I27" s="10">
        <f>INDEX(Models!$D$29:$D$31,MATCH(D27,Models!$A$29:$A$31,0))</f>
        <v/>
      </c>
      <c r="J27" s="12" t="inlineStr">
        <is>
          <t>Not started</t>
        </is>
      </c>
      <c r="K27" s="10">
        <f>IF(J27="Done","Done",IF(L27=0,"Ready","Waiting on "&amp;L27))</f>
        <v/>
      </c>
      <c r="L27" s="10">
        <f>IF(E27="",0,SUMPRODUCT(ISNUMBER(SEARCH(","&amp;$A$5:$A$46&amp;",",","&amp;SUBSTITUTE(E27," ","")&amp;","))*($J$5:$J$46&lt;&gt;"Done")))</f>
        <v/>
      </c>
      <c r="M27" s="12" t="n"/>
      <c r="N27" s="10">
        <f>IF(M27="","",IFERROR(IF(INDEX(Models!$E$5:$G$19,MATCH(M27,Models!$A$5:$A$19,0),VALUE(RIGHT(D27,1)))="Yes","OK",IF(INDEX(Models!$E$5:$G$19,MATCH(M27,Models!$A$5:$A$19,0),VALUE(RIGHT(D27,1)))="Caution","Needs T3 review","NOT ALLOWED")),"Unknown model"))</f>
        <v/>
      </c>
      <c r="O27" s="12" t="n"/>
      <c r="P27" s="12" t="n"/>
      <c r="Q27" s="12" t="n"/>
      <c r="R27" s="10">
        <f>IF(K27="Ready",B27,"")</f>
        <v/>
      </c>
    </row>
    <row r="28">
      <c r="A28" s="8" t="inlineStr">
        <is>
          <t>P2-6</t>
        </is>
      </c>
      <c r="B28" s="9" t="n">
        <v>2</v>
      </c>
      <c r="C28" s="10" t="inlineStr">
        <is>
          <t>Snapshot service + joiner install</t>
        </is>
      </c>
      <c r="D28" s="13" t="inlineStr">
        <is>
          <t>T2</t>
        </is>
      </c>
      <c r="E28" s="10" t="inlineStr">
        <is>
          <t>P2-3,P2-4</t>
        </is>
      </c>
      <c r="F28" s="10" t="inlineStr"/>
      <c r="G28" s="10" t="inlineStr">
        <is>
          <t>Yes – Fable 5.1 / Opus 5.5</t>
        </is>
      </c>
      <c r="H28" s="10">
        <f>INDEX(Models!$C$29:$C$31,MATCH(D28,Models!$A$29:$A$31,0))</f>
        <v/>
      </c>
      <c r="I28" s="10">
        <f>INDEX(Models!$D$29:$D$31,MATCH(D28,Models!$A$29:$A$31,0))</f>
        <v/>
      </c>
      <c r="J28" s="12" t="inlineStr">
        <is>
          <t>Not started</t>
        </is>
      </c>
      <c r="K28" s="10">
        <f>IF(J28="Done","Done",IF(L28=0,"Ready","Waiting on "&amp;L28))</f>
        <v/>
      </c>
      <c r="L28" s="10">
        <f>IF(E28="",0,SUMPRODUCT(ISNUMBER(SEARCH(","&amp;$A$5:$A$46&amp;",",","&amp;SUBSTITUTE(E28," ","")&amp;","))*($J$5:$J$46&lt;&gt;"Done")))</f>
        <v/>
      </c>
      <c r="M28" s="12" t="n"/>
      <c r="N28" s="10">
        <f>IF(M28="","",IFERROR(IF(INDEX(Models!$E$5:$G$19,MATCH(M28,Models!$A$5:$A$19,0),VALUE(RIGHT(D28,1)))="Yes","OK",IF(INDEX(Models!$E$5:$G$19,MATCH(M28,Models!$A$5:$A$19,0),VALUE(RIGHT(D28,1)))="Caution","Needs T3 review","NOT ALLOWED")),"Unknown model"))</f>
        <v/>
      </c>
      <c r="O28" s="12" t="n"/>
      <c r="P28" s="12" t="n"/>
      <c r="Q28" s="12" t="n"/>
      <c r="R28" s="10">
        <f>IF(K28="Ready",B28,"")</f>
        <v/>
      </c>
    </row>
    <row r="29">
      <c r="A29" s="8" t="inlineStr">
        <is>
          <t>P2-7</t>
        </is>
      </c>
      <c r="B29" s="9" t="n">
        <v>2</v>
      </c>
      <c r="C29" s="10" t="inlineStr">
        <is>
          <t>UI: Join wizard, Add workstation, Members, Remove, Hand over admin</t>
        </is>
      </c>
      <c r="D29" s="13" t="inlineStr">
        <is>
          <t>T2</t>
        </is>
      </c>
      <c r="E29" s="10" t="inlineStr">
        <is>
          <t>P2-4,P2-6</t>
        </is>
      </c>
      <c r="F29" s="10" t="inlineStr"/>
      <c r="G29" s="10" t="inlineStr">
        <is>
          <t>No</t>
        </is>
      </c>
      <c r="H29" s="10">
        <f>INDEX(Models!$C$29:$C$31,MATCH(D29,Models!$A$29:$A$31,0))</f>
        <v/>
      </c>
      <c r="I29" s="10">
        <f>INDEX(Models!$D$29:$D$31,MATCH(D29,Models!$A$29:$A$31,0))</f>
        <v/>
      </c>
      <c r="J29" s="12" t="inlineStr">
        <is>
          <t>Not started</t>
        </is>
      </c>
      <c r="K29" s="10">
        <f>IF(J29="Done","Done",IF(L29=0,"Ready","Waiting on "&amp;L29))</f>
        <v/>
      </c>
      <c r="L29" s="10">
        <f>IF(E29="",0,SUMPRODUCT(ISNUMBER(SEARCH(","&amp;$A$5:$A$46&amp;",",","&amp;SUBSTITUTE(E29," ","")&amp;","))*($J$5:$J$46&lt;&gt;"Done")))</f>
        <v/>
      </c>
      <c r="M29" s="12" t="n"/>
      <c r="N29" s="10">
        <f>IF(M29="","",IFERROR(IF(INDEX(Models!$E$5:$G$19,MATCH(M29,Models!$A$5:$A$19,0),VALUE(RIGHT(D29,1)))="Yes","OK",IF(INDEX(Models!$E$5:$G$19,MATCH(M29,Models!$A$5:$A$19,0),VALUE(RIGHT(D29,1)))="Caution","Needs T3 review","NOT ALLOWED")),"Unknown model"))</f>
        <v/>
      </c>
      <c r="O29" s="12" t="n"/>
      <c r="P29" s="12" t="n"/>
      <c r="Q29" s="12" t="n"/>
      <c r="R29" s="10">
        <f>IF(K29="Ready",B29,"")</f>
        <v/>
      </c>
    </row>
    <row r="30">
      <c r="A30" s="8" t="inlineStr">
        <is>
          <t>P2-8</t>
        </is>
      </c>
      <c r="B30" s="9" t="n">
        <v>2</v>
      </c>
      <c r="C30" s="10" t="inlineStr">
        <is>
          <t>Rejoin + salvage import for existing diverged PCs</t>
        </is>
      </c>
      <c r="D30" s="14" t="inlineStr">
        <is>
          <t>T3</t>
        </is>
      </c>
      <c r="E30" s="10" t="inlineStr">
        <is>
          <t>P2-6</t>
        </is>
      </c>
      <c r="F30" s="10" t="inlineStr"/>
      <c r="G30" s="10" t="inlineStr">
        <is>
          <t>Yes – Fable 5.1 / Opus 5.5</t>
        </is>
      </c>
      <c r="H30" s="10">
        <f>INDEX(Models!$C$29:$C$31,MATCH(D30,Models!$A$29:$A$31,0))</f>
        <v/>
      </c>
      <c r="I30" s="10">
        <f>INDEX(Models!$D$29:$D$31,MATCH(D30,Models!$A$29:$A$31,0))</f>
        <v/>
      </c>
      <c r="J30" s="12" t="inlineStr">
        <is>
          <t>Not started</t>
        </is>
      </c>
      <c r="K30" s="10">
        <f>IF(J30="Done","Done",IF(L30=0,"Ready","Waiting on "&amp;L30))</f>
        <v/>
      </c>
      <c r="L30" s="10">
        <f>IF(E30="",0,SUMPRODUCT(ISNUMBER(SEARCH(","&amp;$A$5:$A$46&amp;",",","&amp;SUBSTITUTE(E30," ","")&amp;","))*($J$5:$J$46&lt;&gt;"Done")))</f>
        <v/>
      </c>
      <c r="M30" s="12" t="n"/>
      <c r="N30" s="10">
        <f>IF(M30="","",IFERROR(IF(INDEX(Models!$E$5:$G$19,MATCH(M30,Models!$A$5:$A$19,0),VALUE(RIGHT(D30,1)))="Yes","OK",IF(INDEX(Models!$E$5:$G$19,MATCH(M30,Models!$A$5:$A$19,0),VALUE(RIGHT(D30,1)))="Caution","Needs T3 review","NOT ALLOWED")),"Unknown model"))</f>
        <v/>
      </c>
      <c r="O30" s="12" t="n"/>
      <c r="P30" s="12" t="n"/>
      <c r="Q30" s="12" t="n"/>
      <c r="R30" s="10">
        <f>IF(K30="Ready",B30,"")</f>
        <v/>
      </c>
    </row>
    <row r="31">
      <c r="A31" s="8" t="inlineStr">
        <is>
          <t>P3-0</t>
        </is>
      </c>
      <c r="B31" s="9" t="n">
        <v>3</v>
      </c>
      <c r="C31" s="10" t="inlineStr">
        <is>
          <t>Multi-node test harness + convergence tests (written first)</t>
        </is>
      </c>
      <c r="D31" s="13" t="inlineStr">
        <is>
          <t>T2</t>
        </is>
      </c>
      <c r="E31" s="10" t="inlineStr">
        <is>
          <t>P2-3</t>
        </is>
      </c>
      <c r="F31" s="10" t="inlineStr"/>
      <c r="G31" s="10" t="inlineStr">
        <is>
          <t>Yes – Fable 5.1 / Opus 5.5</t>
        </is>
      </c>
      <c r="H31" s="10">
        <f>INDEX(Models!$C$29:$C$31,MATCH(D31,Models!$A$29:$A$31,0))</f>
        <v/>
      </c>
      <c r="I31" s="10">
        <f>INDEX(Models!$D$29:$D$31,MATCH(D31,Models!$A$29:$A$31,0))</f>
        <v/>
      </c>
      <c r="J31" s="12" t="inlineStr">
        <is>
          <t>Not started</t>
        </is>
      </c>
      <c r="K31" s="10">
        <f>IF(J31="Done","Done",IF(L31=0,"Ready","Waiting on "&amp;L31))</f>
        <v/>
      </c>
      <c r="L31" s="10">
        <f>IF(E31="",0,SUMPRODUCT(ISNUMBER(SEARCH(","&amp;$A$5:$A$46&amp;",",","&amp;SUBSTITUTE(E31," ","")&amp;","))*($J$5:$J$46&lt;&gt;"Done")))</f>
        <v/>
      </c>
      <c r="M31" s="12" t="n"/>
      <c r="N31" s="10">
        <f>IF(M31="","",IFERROR(IF(INDEX(Models!$E$5:$G$19,MATCH(M31,Models!$A$5:$A$19,0),VALUE(RIGHT(D31,1)))="Yes","OK",IF(INDEX(Models!$E$5:$G$19,MATCH(M31,Models!$A$5:$A$19,0),VALUE(RIGHT(D31,1)))="Caution","Needs T3 review","NOT ALLOWED")),"Unknown model"))</f>
        <v/>
      </c>
      <c r="O31" s="12" t="n"/>
      <c r="P31" s="12" t="n"/>
      <c r="Q31" s="12" t="n"/>
      <c r="R31" s="10">
        <f>IF(K31="Ready",B31,"")</f>
        <v/>
      </c>
    </row>
    <row r="32">
      <c r="A32" s="8" t="inlineStr">
        <is>
          <t>P3-1</t>
        </is>
      </c>
      <c r="B32" s="9" t="n">
        <v>3</v>
      </c>
      <c r="C32" s="10" t="inlineStr">
        <is>
          <t>Table / setting classification registry sync_schema.py</t>
        </is>
      </c>
      <c r="D32" s="13" t="inlineStr">
        <is>
          <t>T2</t>
        </is>
      </c>
      <c r="E32" s="10" t="inlineStr"/>
      <c r="F32" s="10" t="inlineStr"/>
      <c r="G32" s="10" t="inlineStr">
        <is>
          <t>Yes – Fable 5.1 / Opus 5.5</t>
        </is>
      </c>
      <c r="H32" s="10">
        <f>INDEX(Models!$C$29:$C$31,MATCH(D32,Models!$A$29:$A$31,0))</f>
        <v/>
      </c>
      <c r="I32" s="10">
        <f>INDEX(Models!$D$29:$D$31,MATCH(D32,Models!$A$29:$A$31,0))</f>
        <v/>
      </c>
      <c r="J32" s="12" t="inlineStr">
        <is>
          <t>Not started</t>
        </is>
      </c>
      <c r="K32" s="10">
        <f>IF(J32="Done","Done",IF(L32=0,"Ready","Waiting on "&amp;L32))</f>
        <v/>
      </c>
      <c r="L32" s="10">
        <f>IF(E32="",0,SUMPRODUCT(ISNUMBER(SEARCH(","&amp;$A$5:$A$46&amp;",",","&amp;SUBSTITUTE(E32," ","")&amp;","))*($J$5:$J$46&lt;&gt;"Done")))</f>
        <v/>
      </c>
      <c r="M32" s="12" t="n"/>
      <c r="N32" s="10">
        <f>IF(M32="","",IFERROR(IF(INDEX(Models!$E$5:$G$19,MATCH(M32,Models!$A$5:$A$19,0),VALUE(RIGHT(D32,1)))="Yes","OK",IF(INDEX(Models!$E$5:$G$19,MATCH(M32,Models!$A$5:$A$19,0),VALUE(RIGHT(D32,1)))="Caution","Needs T3 review","NOT ALLOWED")),"Unknown model"))</f>
        <v/>
      </c>
      <c r="O32" s="12" t="n"/>
      <c r="P32" s="12" t="n"/>
      <c r="Q32" s="12" t="n"/>
      <c r="R32" s="10">
        <f>IF(K32="Ready",B32,"")</f>
        <v/>
      </c>
    </row>
    <row r="33">
      <c r="A33" s="8" t="inlineStr">
        <is>
          <t>P3-2</t>
        </is>
      </c>
      <c r="B33" s="9" t="n">
        <v>3</v>
      </c>
      <c r="C33" s="10" t="inlineStr">
        <is>
          <t>gid columns, back-fill, deterministic seed gids, _sync_* tables</t>
        </is>
      </c>
      <c r="D33" s="13" t="inlineStr">
        <is>
          <t>T2</t>
        </is>
      </c>
      <c r="E33" s="10" t="inlineStr">
        <is>
          <t>P3-1</t>
        </is>
      </c>
      <c r="F33" s="10" t="inlineStr"/>
      <c r="G33" s="10" t="inlineStr">
        <is>
          <t>No</t>
        </is>
      </c>
      <c r="H33" s="10">
        <f>INDEX(Models!$C$29:$C$31,MATCH(D33,Models!$A$29:$A$31,0))</f>
        <v/>
      </c>
      <c r="I33" s="10">
        <f>INDEX(Models!$D$29:$D$31,MATCH(D33,Models!$A$29:$A$31,0))</f>
        <v/>
      </c>
      <c r="J33" s="12" t="inlineStr">
        <is>
          <t>Not started</t>
        </is>
      </c>
      <c r="K33" s="10">
        <f>IF(J33="Done","Done",IF(L33=0,"Ready","Waiting on "&amp;L33))</f>
        <v/>
      </c>
      <c r="L33" s="10">
        <f>IF(E33="",0,SUMPRODUCT(ISNUMBER(SEARCH(","&amp;$A$5:$A$46&amp;",",","&amp;SUBSTITUTE(E33," ","")&amp;","))*($J$5:$J$46&lt;&gt;"Done")))</f>
        <v/>
      </c>
      <c r="M33" s="12" t="n"/>
      <c r="N33" s="10">
        <f>IF(M33="","",IFERROR(IF(INDEX(Models!$E$5:$G$19,MATCH(M33,Models!$A$5:$A$19,0),VALUE(RIGHT(D33,1)))="Yes","OK",IF(INDEX(Models!$E$5:$G$19,MATCH(M33,Models!$A$5:$A$19,0),VALUE(RIGHT(D33,1)))="Caution","Needs T3 review","NOT ALLOWED")),"Unknown model"))</f>
        <v/>
      </c>
      <c r="O33" s="12" t="n"/>
      <c r="P33" s="12" t="n"/>
      <c r="Q33" s="12" t="n"/>
      <c r="R33" s="10">
        <f>IF(K33="Ready",B33,"")</f>
        <v/>
      </c>
    </row>
    <row r="34">
      <c r="A34" s="8" t="inlineStr">
        <is>
          <t>P3-3</t>
        </is>
      </c>
      <c r="B34" s="9" t="n">
        <v>3</v>
      </c>
      <c r="C34" s="10" t="inlineStr">
        <is>
          <t>Capture triggers + sealer + hybrid logical clock</t>
        </is>
      </c>
      <c r="D34" s="14" t="inlineStr">
        <is>
          <t>T3</t>
        </is>
      </c>
      <c r="E34" s="10" t="inlineStr">
        <is>
          <t>P3-2</t>
        </is>
      </c>
      <c r="F34" s="10" t="inlineStr"/>
      <c r="G34" s="10" t="inlineStr">
        <is>
          <t>Yes – Fable 5.1 / Opus 5.5</t>
        </is>
      </c>
      <c r="H34" s="10">
        <f>INDEX(Models!$C$29:$C$31,MATCH(D34,Models!$A$29:$A$31,0))</f>
        <v/>
      </c>
      <c r="I34" s="10">
        <f>INDEX(Models!$D$29:$D$31,MATCH(D34,Models!$A$29:$A$31,0))</f>
        <v/>
      </c>
      <c r="J34" s="12" t="inlineStr">
        <is>
          <t>Not started</t>
        </is>
      </c>
      <c r="K34" s="10">
        <f>IF(J34="Done","Done",IF(L34=0,"Ready","Waiting on "&amp;L34))</f>
        <v/>
      </c>
      <c r="L34" s="10">
        <f>IF(E34="",0,SUMPRODUCT(ISNUMBER(SEARCH(","&amp;$A$5:$A$46&amp;",",","&amp;SUBSTITUTE(E34," ","")&amp;","))*($J$5:$J$46&lt;&gt;"Done")))</f>
        <v/>
      </c>
      <c r="M34" s="12" t="n"/>
      <c r="N34" s="10">
        <f>IF(M34="","",IFERROR(IF(INDEX(Models!$E$5:$G$19,MATCH(M34,Models!$A$5:$A$19,0),VALUE(RIGHT(D34,1)))="Yes","OK",IF(INDEX(Models!$E$5:$G$19,MATCH(M34,Models!$A$5:$A$19,0),VALUE(RIGHT(D34,1)))="Caution","Needs T3 review","NOT ALLOWED")),"Unknown model"))</f>
        <v/>
      </c>
      <c r="O34" s="12" t="n"/>
      <c r="P34" s="12" t="n"/>
      <c r="Q34" s="12" t="n"/>
      <c r="R34" s="10">
        <f>IF(K34="Ready",B34,"")</f>
        <v/>
      </c>
    </row>
    <row r="35">
      <c r="A35" s="8" t="inlineStr">
        <is>
          <t>P3-4</t>
        </is>
      </c>
      <c r="B35" s="9" t="n">
        <v>3</v>
      </c>
      <c r="C35" s="10" t="inlineStr">
        <is>
          <t>Apply engine (field LWW, tombstones, FK translation, parking, admin signatures)</t>
        </is>
      </c>
      <c r="D35" s="14" t="inlineStr">
        <is>
          <t>T3</t>
        </is>
      </c>
      <c r="E35" s="10" t="inlineStr">
        <is>
          <t>P3-3</t>
        </is>
      </c>
      <c r="F35" s="10" t="inlineStr"/>
      <c r="G35" s="10" t="inlineStr">
        <is>
          <t>Yes – Fable 5.1 / Opus 5.5</t>
        </is>
      </c>
      <c r="H35" s="10">
        <f>INDEX(Models!$C$29:$C$31,MATCH(D35,Models!$A$29:$A$31,0))</f>
        <v/>
      </c>
      <c r="I35" s="10">
        <f>INDEX(Models!$D$29:$D$31,MATCH(D35,Models!$A$29:$A$31,0))</f>
        <v/>
      </c>
      <c r="J35" s="12" t="inlineStr">
        <is>
          <t>Not started</t>
        </is>
      </c>
      <c r="K35" s="10">
        <f>IF(J35="Done","Done",IF(L35=0,"Ready","Waiting on "&amp;L35))</f>
        <v/>
      </c>
      <c r="L35" s="10">
        <f>IF(E35="",0,SUMPRODUCT(ISNUMBER(SEARCH(","&amp;$A$5:$A$46&amp;",",","&amp;SUBSTITUTE(E35," ","")&amp;","))*($J$5:$J$46&lt;&gt;"Done")))</f>
        <v/>
      </c>
      <c r="M35" s="12" t="n"/>
      <c r="N35" s="10">
        <f>IF(M35="","",IFERROR(IF(INDEX(Models!$E$5:$G$19,MATCH(M35,Models!$A$5:$A$19,0),VALUE(RIGHT(D35,1)))="Yes","OK",IF(INDEX(Models!$E$5:$G$19,MATCH(M35,Models!$A$5:$A$19,0),VALUE(RIGHT(D35,1)))="Caution","Needs T3 review","NOT ALLOWED")),"Unknown model"))</f>
        <v/>
      </c>
      <c r="O35" s="12" t="n"/>
      <c r="P35" s="12" t="n"/>
      <c r="Q35" s="12" t="n"/>
      <c r="R35" s="10">
        <f>IF(K35="Ready",B35,"")</f>
        <v/>
      </c>
    </row>
    <row r="36">
      <c r="A36" s="8" t="inlineStr">
        <is>
          <t>P3-5</t>
        </is>
      </c>
      <c r="B36" s="9" t="n">
        <v>3</v>
      </c>
      <c r="C36" s="10" t="inlineStr">
        <is>
          <t>Sync session protocol, forwarding, poke, scheduler</t>
        </is>
      </c>
      <c r="D36" s="14" t="inlineStr">
        <is>
          <t>T3</t>
        </is>
      </c>
      <c r="E36" s="10" t="inlineStr">
        <is>
          <t>P3-4,P2-5</t>
        </is>
      </c>
      <c r="F36" s="10" t="inlineStr"/>
      <c r="G36" s="10" t="inlineStr">
        <is>
          <t>Yes – Fable 5.1 / Opus 5.5</t>
        </is>
      </c>
      <c r="H36" s="10">
        <f>INDEX(Models!$C$29:$C$31,MATCH(D36,Models!$A$29:$A$31,0))</f>
        <v/>
      </c>
      <c r="I36" s="10">
        <f>INDEX(Models!$D$29:$D$31,MATCH(D36,Models!$A$29:$A$31,0))</f>
        <v/>
      </c>
      <c r="J36" s="12" t="inlineStr">
        <is>
          <t>Not started</t>
        </is>
      </c>
      <c r="K36" s="10">
        <f>IF(J36="Done","Done",IF(L36=0,"Ready","Waiting on "&amp;L36))</f>
        <v/>
      </c>
      <c r="L36" s="10">
        <f>IF(E36="",0,SUMPRODUCT(ISNUMBER(SEARCH(","&amp;$A$5:$A$46&amp;",",","&amp;SUBSTITUTE(E36," ","")&amp;","))*($J$5:$J$46&lt;&gt;"Done")))</f>
        <v/>
      </c>
      <c r="M36" s="12" t="n"/>
      <c r="N36" s="10">
        <f>IF(M36="","",IFERROR(IF(INDEX(Models!$E$5:$G$19,MATCH(M36,Models!$A$5:$A$19,0),VALUE(RIGHT(D36,1)))="Yes","OK",IF(INDEX(Models!$E$5:$G$19,MATCH(M36,Models!$A$5:$A$19,0),VALUE(RIGHT(D36,1)))="Caution","Needs T3 review","NOT ALLOWED")),"Unknown model"))</f>
        <v/>
      </c>
      <c r="O36" s="12" t="n"/>
      <c r="P36" s="12" t="n"/>
      <c r="Q36" s="12" t="n"/>
      <c r="R36" s="10">
        <f>IF(K36="Ready",B36,"")</f>
        <v/>
      </c>
    </row>
    <row r="37">
      <c r="A37" s="8" t="inlineStr">
        <is>
          <t>P3-6</t>
        </is>
      </c>
      <c r="B37" s="9" t="n">
        <v>3</v>
      </c>
      <c r="C37" s="10" t="inlineStr">
        <is>
          <t>Make start-up maintenance admin-only / id-independent (F12, F13)</t>
        </is>
      </c>
      <c r="D37" s="13" t="inlineStr">
        <is>
          <t>T2</t>
        </is>
      </c>
      <c r="E37" s="10" t="inlineStr">
        <is>
          <t>P3-2</t>
        </is>
      </c>
      <c r="F37" s="10" t="inlineStr"/>
      <c r="G37" s="10" t="inlineStr">
        <is>
          <t>Yes – Fable 5.1 / Opus 5.5</t>
        </is>
      </c>
      <c r="H37" s="10">
        <f>INDEX(Models!$C$29:$C$31,MATCH(D37,Models!$A$29:$A$31,0))</f>
        <v/>
      </c>
      <c r="I37" s="10">
        <f>INDEX(Models!$D$29:$D$31,MATCH(D37,Models!$A$29:$A$31,0))</f>
        <v/>
      </c>
      <c r="J37" s="12" t="inlineStr">
        <is>
          <t>Not started</t>
        </is>
      </c>
      <c r="K37" s="10">
        <f>IF(J37="Done","Done",IF(L37=0,"Ready","Waiting on "&amp;L37))</f>
        <v/>
      </c>
      <c r="L37" s="10">
        <f>IF(E37="",0,SUMPRODUCT(ISNUMBER(SEARCH(","&amp;$A$5:$A$46&amp;",",","&amp;SUBSTITUTE(E37," ","")&amp;","))*($J$5:$J$46&lt;&gt;"Done")))</f>
        <v/>
      </c>
      <c r="M37" s="12" t="n"/>
      <c r="N37" s="10">
        <f>IF(M37="","",IFERROR(IF(INDEX(Models!$E$5:$G$19,MATCH(M37,Models!$A$5:$A$19,0),VALUE(RIGHT(D37,1)))="Yes","OK",IF(INDEX(Models!$E$5:$G$19,MATCH(M37,Models!$A$5:$A$19,0),VALUE(RIGHT(D37,1)))="Caution","Needs T3 review","NOT ALLOWED")),"Unknown model"))</f>
        <v/>
      </c>
      <c r="O37" s="12" t="n"/>
      <c r="P37" s="12" t="n"/>
      <c r="Q37" s="12" t="n"/>
      <c r="R37" s="10">
        <f>IF(K37="Ready",B37,"")</f>
        <v/>
      </c>
    </row>
    <row r="38">
      <c r="A38" s="8" t="inlineStr">
        <is>
          <t>P3-7</t>
        </is>
      </c>
      <c r="B38" s="9" t="n">
        <v>3</v>
      </c>
      <c r="C38" s="10" t="inlineStr">
        <is>
          <t>Shadow mode: capture check, replica convergence, digests</t>
        </is>
      </c>
      <c r="D38" s="13" t="inlineStr">
        <is>
          <t>T2</t>
        </is>
      </c>
      <c r="E38" s="10" t="inlineStr">
        <is>
          <t>P3-5</t>
        </is>
      </c>
      <c r="F38" s="10" t="inlineStr"/>
      <c r="G38" s="10" t="inlineStr">
        <is>
          <t>Yes – Fable 5.1 / Opus 5.5</t>
        </is>
      </c>
      <c r="H38" s="10">
        <f>INDEX(Models!$C$29:$C$31,MATCH(D38,Models!$A$29:$A$31,0))</f>
        <v/>
      </c>
      <c r="I38" s="10">
        <f>INDEX(Models!$D$29:$D$31,MATCH(D38,Models!$A$29:$A$31,0))</f>
        <v/>
      </c>
      <c r="J38" s="12" t="inlineStr">
        <is>
          <t>Not started</t>
        </is>
      </c>
      <c r="K38" s="10">
        <f>IF(J38="Done","Done",IF(L38=0,"Ready","Waiting on "&amp;L38))</f>
        <v/>
      </c>
      <c r="L38" s="10">
        <f>IF(E38="",0,SUMPRODUCT(ISNUMBER(SEARCH(","&amp;$A$5:$A$46&amp;",",","&amp;SUBSTITUTE(E38," ","")&amp;","))*($J$5:$J$46&lt;&gt;"Done")))</f>
        <v/>
      </c>
      <c r="M38" s="12" t="n"/>
      <c r="N38" s="10">
        <f>IF(M38="","",IFERROR(IF(INDEX(Models!$E$5:$G$19,MATCH(M38,Models!$A$5:$A$19,0),VALUE(RIGHT(D38,1)))="Yes","OK",IF(INDEX(Models!$E$5:$G$19,MATCH(M38,Models!$A$5:$A$19,0),VALUE(RIGHT(D38,1)))="Caution","Needs T3 review","NOT ALLOWED")),"Unknown model"))</f>
        <v/>
      </c>
      <c r="O38" s="12" t="n"/>
      <c r="P38" s="12" t="n"/>
      <c r="Q38" s="12" t="n"/>
      <c r="R38" s="10">
        <f>IF(K38="Ready",B38,"")</f>
        <v/>
      </c>
    </row>
    <row r="39">
      <c r="A39" s="8" t="inlineStr">
        <is>
          <t>P3-8</t>
        </is>
      </c>
      <c r="B39" s="9" t="n">
        <v>3</v>
      </c>
      <c r="C39" s="10" t="inlineStr">
        <is>
          <t>UI refresh by table + Sera Sync panel status</t>
        </is>
      </c>
      <c r="D39" s="13" t="inlineStr">
        <is>
          <t>T2</t>
        </is>
      </c>
      <c r="E39" s="10" t="inlineStr">
        <is>
          <t>P3-5</t>
        </is>
      </c>
      <c r="F39" s="10" t="inlineStr"/>
      <c r="G39" s="10" t="inlineStr">
        <is>
          <t>No</t>
        </is>
      </c>
      <c r="H39" s="10">
        <f>INDEX(Models!$C$29:$C$31,MATCH(D39,Models!$A$29:$A$31,0))</f>
        <v/>
      </c>
      <c r="I39" s="10">
        <f>INDEX(Models!$D$29:$D$31,MATCH(D39,Models!$A$29:$A$31,0))</f>
        <v/>
      </c>
      <c r="J39" s="12" t="inlineStr">
        <is>
          <t>Not started</t>
        </is>
      </c>
      <c r="K39" s="10">
        <f>IF(J39="Done","Done",IF(L39=0,"Ready","Waiting on "&amp;L39))</f>
        <v/>
      </c>
      <c r="L39" s="10">
        <f>IF(E39="",0,SUMPRODUCT(ISNUMBER(SEARCH(","&amp;$A$5:$A$46&amp;",",","&amp;SUBSTITUTE(E39," ","")&amp;","))*($J$5:$J$46&lt;&gt;"Done")))</f>
        <v/>
      </c>
      <c r="M39" s="12" t="n"/>
      <c r="N39" s="10">
        <f>IF(M39="","",IFERROR(IF(INDEX(Models!$E$5:$G$19,MATCH(M39,Models!$A$5:$A$19,0),VALUE(RIGHT(D39,1)))="Yes","OK",IF(INDEX(Models!$E$5:$G$19,MATCH(M39,Models!$A$5:$A$19,0),VALUE(RIGHT(D39,1)))="Caution","Needs T3 review","NOT ALLOWED")),"Unknown model"))</f>
        <v/>
      </c>
      <c r="O39" s="12" t="n"/>
      <c r="P39" s="12" t="n"/>
      <c r="Q39" s="12" t="n"/>
      <c r="R39" s="10">
        <f>IF(K39="Ready",B39,"")</f>
        <v/>
      </c>
    </row>
    <row r="40">
      <c r="A40" s="8" t="inlineStr">
        <is>
          <t>P3-9</t>
        </is>
      </c>
      <c r="B40" s="9" t="n">
        <v>3</v>
      </c>
      <c r="C40" s="10" t="inlineStr">
        <is>
          <t>Go live (install converged replica, switch mode)</t>
        </is>
      </c>
      <c r="D40" s="13" t="inlineStr">
        <is>
          <t>T2</t>
        </is>
      </c>
      <c r="E40" s="10" t="inlineStr">
        <is>
          <t>P3-7</t>
        </is>
      </c>
      <c r="F40" s="10" t="inlineStr">
        <is>
          <t>Plus: P3-7 go-live criteria met (owner decides)</t>
        </is>
      </c>
      <c r="G40" s="10" t="inlineStr">
        <is>
          <t>Owner decision</t>
        </is>
      </c>
      <c r="H40" s="10">
        <f>INDEX(Models!$C$29:$C$31,MATCH(D40,Models!$A$29:$A$31,0))</f>
        <v/>
      </c>
      <c r="I40" s="10">
        <f>INDEX(Models!$D$29:$D$31,MATCH(D40,Models!$A$29:$A$31,0))</f>
        <v/>
      </c>
      <c r="J40" s="12" t="inlineStr">
        <is>
          <t>Not started</t>
        </is>
      </c>
      <c r="K40" s="10">
        <f>IF(J40="Done","Done",IF(L40=0,"Ready","Waiting on "&amp;L40))</f>
        <v/>
      </c>
      <c r="L40" s="10">
        <f>IF(E40="",0,SUMPRODUCT(ISNUMBER(SEARCH(","&amp;$A$5:$A$46&amp;",",","&amp;SUBSTITUTE(E40," ","")&amp;","))*($J$5:$J$46&lt;&gt;"Done")))</f>
        <v/>
      </c>
      <c r="M40" s="12" t="n"/>
      <c r="N40" s="10">
        <f>IF(M40="","",IFERROR(IF(INDEX(Models!$E$5:$G$19,MATCH(M40,Models!$A$5:$A$19,0),VALUE(RIGHT(D40,1)))="Yes","OK",IF(INDEX(Models!$E$5:$G$19,MATCH(M40,Models!$A$5:$A$19,0),VALUE(RIGHT(D40,1)))="Caution","Needs T3 review","NOT ALLOWED")),"Unknown model"))</f>
        <v/>
      </c>
      <c r="O40" s="12" t="n"/>
      <c r="P40" s="12" t="n"/>
      <c r="Q40" s="12" t="n"/>
      <c r="R40" s="10">
        <f>IF(K40="Ready",B40,"")</f>
        <v/>
      </c>
    </row>
    <row r="41">
      <c r="A41" s="8" t="inlineStr">
        <is>
          <t>P4-1</t>
        </is>
      </c>
      <c r="B41" s="9" t="n">
        <v>4</v>
      </c>
      <c r="C41" s="10" t="inlineStr">
        <is>
          <t>Remove legacy protocol, inv_frames, Rev Score, peer_logs</t>
        </is>
      </c>
      <c r="D41" s="13" t="inlineStr">
        <is>
          <t>T2</t>
        </is>
      </c>
      <c r="E41" s="10" t="inlineStr">
        <is>
          <t>P3-9</t>
        </is>
      </c>
      <c r="F41" s="10" t="inlineStr">
        <is>
          <t>Plus: go-live done on every PC</t>
        </is>
      </c>
      <c r="G41" s="10" t="inlineStr">
        <is>
          <t>No</t>
        </is>
      </c>
      <c r="H41" s="10">
        <f>INDEX(Models!$C$29:$C$31,MATCH(D41,Models!$A$29:$A$31,0))</f>
        <v/>
      </c>
      <c r="I41" s="10">
        <f>INDEX(Models!$D$29:$D$31,MATCH(D41,Models!$A$29:$A$31,0))</f>
        <v/>
      </c>
      <c r="J41" s="12" t="inlineStr">
        <is>
          <t>Not started</t>
        </is>
      </c>
      <c r="K41" s="10">
        <f>IF(J41="Done","Done",IF(L41=0,"Ready","Waiting on "&amp;L41))</f>
        <v/>
      </c>
      <c r="L41" s="10">
        <f>IF(E41="",0,SUMPRODUCT(ISNUMBER(SEARCH(","&amp;$A$5:$A$46&amp;",",","&amp;SUBSTITUTE(E41," ","")&amp;","))*($J$5:$J$46&lt;&gt;"Done")))</f>
        <v/>
      </c>
      <c r="M41" s="12" t="n"/>
      <c r="N41" s="10">
        <f>IF(M41="","",IFERROR(IF(INDEX(Models!$E$5:$G$19,MATCH(M41,Models!$A$5:$A$19,0),VALUE(RIGHT(D41,1)))="Yes","OK",IF(INDEX(Models!$E$5:$G$19,MATCH(M41,Models!$A$5:$A$19,0),VALUE(RIGHT(D41,1)))="Caution","Needs T3 review","NOT ALLOWED")),"Unknown model"))</f>
        <v/>
      </c>
      <c r="O41" s="12" t="n"/>
      <c r="P41" s="12" t="n"/>
      <c r="Q41" s="12" t="n"/>
      <c r="R41" s="10">
        <f>IF(K41="Ready",B41,"")</f>
        <v/>
      </c>
    </row>
    <row r="42">
      <c r="A42" s="8" t="inlineStr">
        <is>
          <t>P4-2</t>
        </is>
      </c>
      <c r="B42" s="9" t="n">
        <v>4</v>
      </c>
      <c r="C42" s="10" t="inlineStr">
        <is>
          <t>Remove sera.key/sera.salt use (keep legacy importer for restores)</t>
        </is>
      </c>
      <c r="D42" s="13" t="inlineStr">
        <is>
          <t>T2</t>
        </is>
      </c>
      <c r="E42" s="10" t="inlineStr">
        <is>
          <t>P4-1</t>
        </is>
      </c>
      <c r="F42" s="10" t="inlineStr"/>
      <c r="G42" s="10" t="inlineStr">
        <is>
          <t>No</t>
        </is>
      </c>
      <c r="H42" s="10">
        <f>INDEX(Models!$C$29:$C$31,MATCH(D42,Models!$A$29:$A$31,0))</f>
        <v/>
      </c>
      <c r="I42" s="10">
        <f>INDEX(Models!$D$29:$D$31,MATCH(D42,Models!$A$29:$A$31,0))</f>
        <v/>
      </c>
      <c r="J42" s="12" t="inlineStr">
        <is>
          <t>Not started</t>
        </is>
      </c>
      <c r="K42" s="10">
        <f>IF(J42="Done","Done",IF(L42=0,"Ready","Waiting on "&amp;L42))</f>
        <v/>
      </c>
      <c r="L42" s="10">
        <f>IF(E42="",0,SUMPRODUCT(ISNUMBER(SEARCH(","&amp;$A$5:$A$46&amp;",",","&amp;SUBSTITUTE(E42," ","")&amp;","))*($J$5:$J$46&lt;&gt;"Done")))</f>
        <v/>
      </c>
      <c r="M42" s="12" t="n"/>
      <c r="N42" s="10">
        <f>IF(M42="","",IFERROR(IF(INDEX(Models!$E$5:$G$19,MATCH(M42,Models!$A$5:$A$19,0),VALUE(RIGHT(D42,1)))="Yes","OK",IF(INDEX(Models!$E$5:$G$19,MATCH(M42,Models!$A$5:$A$19,0),VALUE(RIGHT(D42,1)))="Caution","Needs T3 review","NOT ALLOWED")),"Unknown model"))</f>
        <v/>
      </c>
      <c r="O42" s="12" t="n"/>
      <c r="P42" s="12" t="n"/>
      <c r="Q42" s="12" t="n"/>
      <c r="R42" s="10">
        <f>IF(K42="Ready",B42,"")</f>
        <v/>
      </c>
    </row>
    <row r="43">
      <c r="A43" s="8" t="inlineStr">
        <is>
          <t>P4-3a</t>
        </is>
      </c>
      <c r="B43" s="9" t="n">
        <v>4</v>
      </c>
      <c r="C43" s="10" t="inlineStr">
        <is>
          <t>Scheduled local backups (daily, keep 14)</t>
        </is>
      </c>
      <c r="D43" s="13" t="inlineStr">
        <is>
          <t>T2</t>
        </is>
      </c>
      <c r="E43" s="10" t="inlineStr">
        <is>
          <t>P1-2</t>
        </is>
      </c>
      <c r="F43" s="10" t="inlineStr"/>
      <c r="G43" s="10" t="inlineStr">
        <is>
          <t>No</t>
        </is>
      </c>
      <c r="H43" s="10">
        <f>INDEX(Models!$C$29:$C$31,MATCH(D43,Models!$A$29:$A$31,0))</f>
        <v/>
      </c>
      <c r="I43" s="10">
        <f>INDEX(Models!$D$29:$D$31,MATCH(D43,Models!$A$29:$A$31,0))</f>
        <v/>
      </c>
      <c r="J43" s="12" t="inlineStr">
        <is>
          <t>Not started</t>
        </is>
      </c>
      <c r="K43" s="10">
        <f>IF(J43="Done","Done",IF(L43=0,"Ready","Waiting on "&amp;L43))</f>
        <v/>
      </c>
      <c r="L43" s="10">
        <f>IF(E43="",0,SUMPRODUCT(ISNUMBER(SEARCH(","&amp;$A$5:$A$46&amp;",",","&amp;SUBSTITUTE(E43," ","")&amp;","))*($J$5:$J$46&lt;&gt;"Done")))</f>
        <v/>
      </c>
      <c r="M43" s="12" t="n"/>
      <c r="N43" s="10">
        <f>IF(M43="","",IFERROR(IF(INDEX(Models!$E$5:$G$19,MATCH(M43,Models!$A$5:$A$19,0),VALUE(RIGHT(D43,1)))="Yes","OK",IF(INDEX(Models!$E$5:$G$19,MATCH(M43,Models!$A$5:$A$19,0),VALUE(RIGHT(D43,1)))="Caution","Needs T3 review","NOT ALLOWED")),"Unknown model"))</f>
        <v/>
      </c>
      <c r="O43" s="12" t="n"/>
      <c r="P43" s="12" t="n"/>
      <c r="Q43" s="12" t="n"/>
      <c r="R43" s="10">
        <f>IF(K43="Ready",B43,"")</f>
        <v/>
      </c>
    </row>
    <row r="44">
      <c r="A44" s="8" t="inlineStr">
        <is>
          <t>P4-3b</t>
        </is>
      </c>
      <c r="B44" s="9" t="n">
        <v>4</v>
      </c>
      <c r="C44" s="10" t="inlineStr">
        <is>
          <t>Restore a backup → becomes the state on every PC (D9)</t>
        </is>
      </c>
      <c r="D44" s="14" t="inlineStr">
        <is>
          <t>T3</t>
        </is>
      </c>
      <c r="E44" s="10" t="inlineStr">
        <is>
          <t>P4-3a,P3-9</t>
        </is>
      </c>
      <c r="F44" s="10" t="inlineStr"/>
      <c r="G44" s="10" t="inlineStr">
        <is>
          <t>Yes – Fable 5.1 / Opus 5.5</t>
        </is>
      </c>
      <c r="H44" s="10">
        <f>INDEX(Models!$C$29:$C$31,MATCH(D44,Models!$A$29:$A$31,0))</f>
        <v/>
      </c>
      <c r="I44" s="10">
        <f>INDEX(Models!$D$29:$D$31,MATCH(D44,Models!$A$29:$A$31,0))</f>
        <v/>
      </c>
      <c r="J44" s="12" t="inlineStr">
        <is>
          <t>Not started</t>
        </is>
      </c>
      <c r="K44" s="10">
        <f>IF(J44="Done","Done",IF(L44=0,"Ready","Waiting on "&amp;L44))</f>
        <v/>
      </c>
      <c r="L44" s="10">
        <f>IF(E44="",0,SUMPRODUCT(ISNUMBER(SEARCH(","&amp;$A$5:$A$46&amp;",",","&amp;SUBSTITUTE(E44," ","")&amp;","))*($J$5:$J$46&lt;&gt;"Done")))</f>
        <v/>
      </c>
      <c r="M44" s="12" t="n"/>
      <c r="N44" s="10">
        <f>IF(M44="","",IFERROR(IF(INDEX(Models!$E$5:$G$19,MATCH(M44,Models!$A$5:$A$19,0),VALUE(RIGHT(D44,1)))="Yes","OK",IF(INDEX(Models!$E$5:$G$19,MATCH(M44,Models!$A$5:$A$19,0),VALUE(RIGHT(D44,1)))="Caution","Needs T3 review","NOT ALLOWED")),"Unknown model"))</f>
        <v/>
      </c>
      <c r="O44" s="12" t="n"/>
      <c r="P44" s="12" t="n"/>
      <c r="Q44" s="12" t="n"/>
      <c r="R44" s="10">
        <f>IF(K44="Ready",B44,"")</f>
        <v/>
      </c>
    </row>
    <row r="45">
      <c r="A45" s="8" t="inlineStr">
        <is>
          <t>P4-4</t>
        </is>
      </c>
      <c r="B45" s="9" t="n">
        <v>4</v>
      </c>
      <c r="C45" s="10" t="inlineStr">
        <is>
          <t>Change-log compaction</t>
        </is>
      </c>
      <c r="D45" s="14" t="inlineStr">
        <is>
          <t>T3</t>
        </is>
      </c>
      <c r="E45" s="10" t="inlineStr">
        <is>
          <t>P3-9</t>
        </is>
      </c>
      <c r="F45" s="10" t="inlineStr"/>
      <c r="G45" s="10" t="inlineStr">
        <is>
          <t>Yes – Fable 5.1 / Opus 5.5</t>
        </is>
      </c>
      <c r="H45" s="10">
        <f>INDEX(Models!$C$29:$C$31,MATCH(D45,Models!$A$29:$A$31,0))</f>
        <v/>
      </c>
      <c r="I45" s="10">
        <f>INDEX(Models!$D$29:$D$31,MATCH(D45,Models!$A$29:$A$31,0))</f>
        <v/>
      </c>
      <c r="J45" s="12" t="inlineStr">
        <is>
          <t>Not started</t>
        </is>
      </c>
      <c r="K45" s="10">
        <f>IF(J45="Done","Done",IF(L45=0,"Ready","Waiting on "&amp;L45))</f>
        <v/>
      </c>
      <c r="L45" s="10">
        <f>IF(E45="",0,SUMPRODUCT(ISNUMBER(SEARCH(","&amp;$A$5:$A$46&amp;",",","&amp;SUBSTITUTE(E45," ","")&amp;","))*($J$5:$J$46&lt;&gt;"Done")))</f>
        <v/>
      </c>
      <c r="M45" s="12" t="n"/>
      <c r="N45" s="10">
        <f>IF(M45="","",IFERROR(IF(INDEX(Models!$E$5:$G$19,MATCH(M45,Models!$A$5:$A$19,0),VALUE(RIGHT(D45,1)))="Yes","OK",IF(INDEX(Models!$E$5:$G$19,MATCH(M45,Models!$A$5:$A$19,0),VALUE(RIGHT(D45,1)))="Caution","Needs T3 review","NOT ALLOWED")),"Unknown model"))</f>
        <v/>
      </c>
      <c r="O45" s="12" t="n"/>
      <c r="P45" s="12" t="n"/>
      <c r="Q45" s="12" t="n"/>
      <c r="R45" s="10">
        <f>IF(K45="Ready",B45,"")</f>
        <v/>
      </c>
    </row>
    <row r="46">
      <c r="A46" s="8" t="inlineStr">
        <is>
          <t>P4-5</t>
        </is>
      </c>
      <c r="B46" s="9" t="n">
        <v>4</v>
      </c>
      <c r="C46" s="10" t="inlineStr">
        <is>
          <t>Docs + test clean-up</t>
        </is>
      </c>
      <c r="D46" s="11" t="inlineStr">
        <is>
          <t>T1</t>
        </is>
      </c>
      <c r="E46" s="10" t="inlineStr">
        <is>
          <t>P4-1,P4-2,P4-3a,P4-3b,P4-4</t>
        </is>
      </c>
      <c r="F46" s="10" t="inlineStr"/>
      <c r="G46" s="10" t="inlineStr">
        <is>
          <t>No</t>
        </is>
      </c>
      <c r="H46" s="10">
        <f>INDEX(Models!$C$29:$C$31,MATCH(D46,Models!$A$29:$A$31,0))</f>
        <v/>
      </c>
      <c r="I46" s="10">
        <f>INDEX(Models!$D$29:$D$31,MATCH(D46,Models!$A$29:$A$31,0))</f>
        <v/>
      </c>
      <c r="J46" s="12" t="inlineStr">
        <is>
          <t>Not started</t>
        </is>
      </c>
      <c r="K46" s="10">
        <f>IF(J46="Done","Done",IF(L46=0,"Ready","Waiting on "&amp;L46))</f>
        <v/>
      </c>
      <c r="L46" s="10">
        <f>IF(E46="",0,SUMPRODUCT(ISNUMBER(SEARCH(","&amp;$A$5:$A$46&amp;",",","&amp;SUBSTITUTE(E46," ","")&amp;","))*($J$5:$J$46&lt;&gt;"Done")))</f>
        <v/>
      </c>
      <c r="M46" s="12" t="n"/>
      <c r="N46" s="10">
        <f>IF(M46="","",IFERROR(IF(INDEX(Models!$E$5:$G$19,MATCH(M46,Models!$A$5:$A$19,0),VALUE(RIGHT(D46,1)))="Yes","OK",IF(INDEX(Models!$E$5:$G$19,MATCH(M46,Models!$A$5:$A$19,0),VALUE(RIGHT(D46,1)))="Caution","Needs T3 review","NOT ALLOWED")),"Unknown model"))</f>
        <v/>
      </c>
      <c r="O46" s="12" t="n"/>
      <c r="P46" s="12" t="n"/>
      <c r="Q46" s="12" t="n"/>
      <c r="R46" s="10">
        <f>IF(K46="Ready",B46,"")</f>
        <v/>
      </c>
    </row>
  </sheetData>
  <autoFilter ref="A4:Q46"/>
  <conditionalFormatting sqref="K5:K46">
    <cfRule type="expression" priority="1" dxfId="0">
      <formula>K5="Ready"</formula>
    </cfRule>
    <cfRule type="expression" priority="2" dxfId="1">
      <formula>K5="Done"</formula>
    </cfRule>
  </conditionalFormatting>
  <conditionalFormatting sqref="N5:N46">
    <cfRule type="expression" priority="3" dxfId="2">
      <formula>N5="NOT ALLOWED"</formula>
    </cfRule>
    <cfRule type="expression" priority="4" dxfId="3">
      <formula>N5="Needs T3 review"</formula>
    </cfRule>
    <cfRule type="expression" priority="5" dxfId="0">
      <formula>N5="OK"</formula>
    </cfRule>
  </conditionalFormatting>
  <conditionalFormatting sqref="A5:Q46">
    <cfRule type="expression" priority="6" dxfId="2">
      <formula>$J5="Blocked"</formula>
    </cfRule>
  </conditionalFormatting>
  <dataValidations count="2">
    <dataValidation sqref="J5:J46" showDropDown="0" showInputMessage="0" showErrorMessage="0" allowBlank="0" type="list">
      <formula1>"Not started,In progress,In review,Done,Blocked"</formula1>
    </dataValidation>
    <dataValidation sqref="M5:M46 O5:O46" showDropDown="0" showInputMessage="0" showErrorMessage="0" allowBlank="1" type="list">
      <formula1>=Models!$A$5:$A$19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7" customWidth="1" min="3" max="3"/>
    <col width="7" customWidth="1" min="4" max="4"/>
    <col width="12" customWidth="1" min="5" max="5"/>
    <col width="9" customWidth="1" min="6" max="6"/>
    <col width="9" customWidth="1" min="7" max="7"/>
    <col width="14" customWidth="1" min="8" max="8"/>
  </cols>
  <sheetData>
    <row r="1">
      <c r="A1" s="5" t="inlineStr">
        <is>
          <t>Progress summary</t>
        </is>
      </c>
    </row>
    <row r="3">
      <c r="A3" s="7" t="inlineStr">
        <is>
          <t>Phase</t>
        </is>
      </c>
      <c r="B3" s="7" t="inlineStr">
        <is>
          <t>Name</t>
        </is>
      </c>
      <c r="C3" s="7" t="inlineStr">
        <is>
          <t>WPs</t>
        </is>
      </c>
      <c r="D3" s="7" t="inlineStr">
        <is>
          <t>Done</t>
        </is>
      </c>
      <c r="E3" s="7" t="inlineStr">
        <is>
          <t>In progress / review</t>
        </is>
      </c>
      <c r="F3" s="7" t="inlineStr">
        <is>
          <t>Blocked</t>
        </is>
      </c>
      <c r="G3" s="7" t="inlineStr">
        <is>
          <t>% done</t>
        </is>
      </c>
      <c r="H3" s="7" t="inlineStr">
        <is>
          <t>Next ready WP</t>
        </is>
      </c>
    </row>
    <row r="4">
      <c r="A4" s="8" t="n">
        <v>0</v>
      </c>
      <c r="B4" s="10" t="inlineStr">
        <is>
          <t>Hotfix (2.x)</t>
        </is>
      </c>
      <c r="C4" s="10">
        <f>COUNTIFS('Work Packages'!$B$5:$B$46,A4)</f>
        <v/>
      </c>
      <c r="D4" s="10">
        <f>COUNTIFS('Work Packages'!$B$5:$B$46,A4,'Work Packages'!$J$5:$J$46,"Done")</f>
        <v/>
      </c>
      <c r="E4" s="10">
        <f>COUNTIFS('Work Packages'!$B$5:$B$46,A4,'Work Packages'!$J$5:$J$46,"In progress")+COUNTIFS('Work Packages'!$B$5:$B$46,A4,'Work Packages'!$J$5:$J$46,"In review")</f>
        <v/>
      </c>
      <c r="F4" s="10">
        <f>COUNTIFS('Work Packages'!$B$5:$B$46,A4,'Work Packages'!$J$5:$J$46,"Blocked")</f>
        <v/>
      </c>
      <c r="G4" s="15">
        <f>IF(C4=0,0,D4/C4)</f>
        <v/>
      </c>
      <c r="H4" s="10">
        <f>IFERROR(INDEX('Work Packages'!$A$5:$A$46,MATCH(A4,'Work Packages'!$R$5:$R$46,0)),"none")</f>
        <v/>
      </c>
    </row>
    <row r="5">
      <c r="A5" s="8" t="n">
        <v>1</v>
      </c>
      <c r="B5" s="10" t="inlineStr">
        <is>
          <t>Office key (3.0)</t>
        </is>
      </c>
      <c r="C5" s="10">
        <f>COUNTIFS('Work Packages'!$B$5:$B$46,A5)</f>
        <v/>
      </c>
      <c r="D5" s="10">
        <f>COUNTIFS('Work Packages'!$B$5:$B$46,A5,'Work Packages'!$J$5:$J$46,"Done")</f>
        <v/>
      </c>
      <c r="E5" s="10">
        <f>COUNTIFS('Work Packages'!$B$5:$B$46,A5,'Work Packages'!$J$5:$J$46,"In progress")+COUNTIFS('Work Packages'!$B$5:$B$46,A5,'Work Packages'!$J$5:$J$46,"In review")</f>
        <v/>
      </c>
      <c r="F5" s="10">
        <f>COUNTIFS('Work Packages'!$B$5:$B$46,A5,'Work Packages'!$J$5:$J$46,"Blocked")</f>
        <v/>
      </c>
      <c r="G5" s="15">
        <f>IF(C5=0,0,D5/C5)</f>
        <v/>
      </c>
      <c r="H5" s="10">
        <f>IFERROR(INDEX('Work Packages'!$A$5:$A$46,MATCH(A5,'Work Packages'!$R$5:$R$46,0)),"none")</f>
        <v/>
      </c>
    </row>
    <row r="6">
      <c r="A6" s="8" t="n">
        <v>2</v>
      </c>
      <c r="B6" s="10" t="inlineStr">
        <is>
          <t>Devices &amp; pairing (3.0)</t>
        </is>
      </c>
      <c r="C6" s="10">
        <f>COUNTIFS('Work Packages'!$B$5:$B$46,A6)</f>
        <v/>
      </c>
      <c r="D6" s="10">
        <f>COUNTIFS('Work Packages'!$B$5:$B$46,A6,'Work Packages'!$J$5:$J$46,"Done")</f>
        <v/>
      </c>
      <c r="E6" s="10">
        <f>COUNTIFS('Work Packages'!$B$5:$B$46,A6,'Work Packages'!$J$5:$J$46,"In progress")+COUNTIFS('Work Packages'!$B$5:$B$46,A6,'Work Packages'!$J$5:$J$46,"In review")</f>
        <v/>
      </c>
      <c r="F6" s="10">
        <f>COUNTIFS('Work Packages'!$B$5:$B$46,A6,'Work Packages'!$J$5:$J$46,"Blocked")</f>
        <v/>
      </c>
      <c r="G6" s="15">
        <f>IF(C6=0,0,D6/C6)</f>
        <v/>
      </c>
      <c r="H6" s="10">
        <f>IFERROR(INDEX('Work Packages'!$A$5:$A$46,MATCH(A6,'Work Packages'!$R$5:$R$46,0)),"none")</f>
        <v/>
      </c>
    </row>
    <row r="7">
      <c r="A7" s="8" t="n">
        <v>3</v>
      </c>
      <c r="B7" s="10" t="inlineStr">
        <is>
          <t>Change replication (3.1 shadow / 3.2 live)</t>
        </is>
      </c>
      <c r="C7" s="10">
        <f>COUNTIFS('Work Packages'!$B$5:$B$46,A7)</f>
        <v/>
      </c>
      <c r="D7" s="10">
        <f>COUNTIFS('Work Packages'!$B$5:$B$46,A7,'Work Packages'!$J$5:$J$46,"Done")</f>
        <v/>
      </c>
      <c r="E7" s="10">
        <f>COUNTIFS('Work Packages'!$B$5:$B$46,A7,'Work Packages'!$J$5:$J$46,"In progress")+COUNTIFS('Work Packages'!$B$5:$B$46,A7,'Work Packages'!$J$5:$J$46,"In review")</f>
        <v/>
      </c>
      <c r="F7" s="10">
        <f>COUNTIFS('Work Packages'!$B$5:$B$46,A7,'Work Packages'!$J$5:$J$46,"Blocked")</f>
        <v/>
      </c>
      <c r="G7" s="15">
        <f>IF(C7=0,0,D7/C7)</f>
        <v/>
      </c>
      <c r="H7" s="10">
        <f>IFERROR(INDEX('Work Packages'!$A$5:$A$46,MATCH(A7,'Work Packages'!$R$5:$R$46,0)),"none")</f>
        <v/>
      </c>
    </row>
    <row r="8">
      <c r="A8" s="8" t="n">
        <v>4</v>
      </c>
      <c r="B8" s="10" t="inlineStr">
        <is>
          <t>Cleanup (3.3)</t>
        </is>
      </c>
      <c r="C8" s="10">
        <f>COUNTIFS('Work Packages'!$B$5:$B$46,A8)</f>
        <v/>
      </c>
      <c r="D8" s="10">
        <f>COUNTIFS('Work Packages'!$B$5:$B$46,A8,'Work Packages'!$J$5:$J$46,"Done")</f>
        <v/>
      </c>
      <c r="E8" s="10">
        <f>COUNTIFS('Work Packages'!$B$5:$B$46,A8,'Work Packages'!$J$5:$J$46,"In progress")+COUNTIFS('Work Packages'!$B$5:$B$46,A8,'Work Packages'!$J$5:$J$46,"In review")</f>
        <v/>
      </c>
      <c r="F8" s="10">
        <f>COUNTIFS('Work Packages'!$B$5:$B$46,A8,'Work Packages'!$J$5:$J$46,"Blocked")</f>
        <v/>
      </c>
      <c r="G8" s="15">
        <f>IF(C8=0,0,D8/C8)</f>
        <v/>
      </c>
      <c r="H8" s="10">
        <f>IFERROR(INDEX('Work Packages'!$A$5:$A$46,MATCH(A8,'Work Packages'!$R$5:$R$46,0)),"none")</f>
        <v/>
      </c>
    </row>
    <row r="9">
      <c r="B9" s="16" t="inlineStr">
        <is>
          <t>Total</t>
        </is>
      </c>
      <c r="C9" s="8">
        <f>SUM(C4:C8)</f>
        <v/>
      </c>
      <c r="D9" s="8">
        <f>SUM(D4:D8)</f>
        <v/>
      </c>
      <c r="E9" s="8">
        <f>SUM(E4:E8)</f>
        <v/>
      </c>
      <c r="F9" s="8">
        <f>SUM(F4:F8)</f>
        <v/>
      </c>
      <c r="G9" s="17">
        <f>IF(C9=0,0,D9/C9)</f>
        <v/>
      </c>
    </row>
    <row r="11">
      <c r="A11" s="16" t="inlineStr">
        <is>
          <t>By tier</t>
        </is>
      </c>
    </row>
    <row r="12">
      <c r="A12" s="18" t="inlineStr">
        <is>
          <t>Tier</t>
        </is>
      </c>
      <c r="B12" s="18" t="inlineStr">
        <is>
          <t>Meaning</t>
        </is>
      </c>
      <c r="C12" s="18" t="inlineStr">
        <is>
          <t>WPs</t>
        </is>
      </c>
      <c r="D12" s="18" t="inlineStr">
        <is>
          <t>Done</t>
        </is>
      </c>
      <c r="E12" s="18" t="inlineStr">
        <is>
          <t>Need review</t>
        </is>
      </c>
    </row>
    <row r="13">
      <c r="A13" s="8" t="inlineStr">
        <is>
          <t>T1</t>
        </is>
      </c>
      <c r="B13" s="10" t="inlineStr">
        <is>
          <t>Mechanical</t>
        </is>
      </c>
      <c r="C13" s="10">
        <f>COUNTIFS('Work Packages'!$D$5:$D$46,A13)</f>
        <v/>
      </c>
      <c r="D13" s="10">
        <f>COUNTIFS('Work Packages'!$D$5:$D$46,A13,'Work Packages'!$J$5:$J$46,"Done")</f>
        <v/>
      </c>
      <c r="E13" s="10">
        <f>COUNTIFS('Work Packages'!$D$5:$D$46,A13,'Work Packages'!$G$5:$G$46,"Yes*")</f>
        <v/>
      </c>
    </row>
    <row r="14">
      <c r="A14" s="8" t="inlineStr">
        <is>
          <t>T2</t>
        </is>
      </c>
      <c r="B14" s="10" t="inlineStr">
        <is>
          <t>Standard</t>
        </is>
      </c>
      <c r="C14" s="10">
        <f>COUNTIFS('Work Packages'!$D$5:$D$46,A14)</f>
        <v/>
      </c>
      <c r="D14" s="10">
        <f>COUNTIFS('Work Packages'!$D$5:$D$46,A14,'Work Packages'!$J$5:$J$46,"Done")</f>
        <v/>
      </c>
      <c r="E14" s="10">
        <f>COUNTIFS('Work Packages'!$D$5:$D$46,A14,'Work Packages'!$G$5:$G$46,"Yes*")</f>
        <v/>
      </c>
    </row>
    <row r="15">
      <c r="A15" s="8" t="inlineStr">
        <is>
          <t>T3</t>
        </is>
      </c>
      <c r="B15" s="10" t="inlineStr">
        <is>
          <t>Expert</t>
        </is>
      </c>
      <c r="C15" s="10">
        <f>COUNTIFS('Work Packages'!$D$5:$D$46,A15)</f>
        <v/>
      </c>
      <c r="D15" s="10">
        <f>COUNTIFS('Work Packages'!$D$5:$D$46,A15,'Work Packages'!$J$5:$J$46,"Done")</f>
        <v/>
      </c>
      <c r="E15" s="10">
        <f>COUNTIFS('Work Packages'!$D$5:$D$46,A15,'Work Packages'!$G$5:$G$46,"Yes*")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80" customWidth="1" min="2" max="2"/>
    <col width="12" customWidth="1" min="3" max="3"/>
    <col width="11" customWidth="1" min="4" max="4"/>
    <col width="12" customWidth="1" min="5" max="5"/>
    <col width="40" customWidth="1" min="6" max="6"/>
  </cols>
  <sheetData>
    <row r="1">
      <c r="A1" s="5" t="inlineStr">
        <is>
          <t>Hands-on checks before releasing each phase (blueprint §8.4)</t>
        </is>
      </c>
    </row>
    <row r="3">
      <c r="A3" s="7" t="inlineStr">
        <is>
          <t>Phase</t>
        </is>
      </c>
      <c r="B3" s="7" t="inlineStr">
        <is>
          <t>Check</t>
        </is>
      </c>
      <c r="C3" s="7" t="inlineStr">
        <is>
          <t>Related WP</t>
        </is>
      </c>
      <c r="D3" s="7" t="inlineStr">
        <is>
          <t>Result</t>
        </is>
      </c>
      <c r="E3" s="7" t="inlineStr">
        <is>
          <t>Date</t>
        </is>
      </c>
      <c r="F3" s="7" t="inlineStr">
        <is>
          <t>Notes</t>
        </is>
      </c>
    </row>
    <row r="4">
      <c r="A4" s="10" t="n">
        <v>0</v>
      </c>
      <c r="B4" s="10" t="inlineStr">
        <is>
          <t>Installer adds the firewall rule: netsh advfirewall firewall show rule name="Amas Sera Sync"</t>
        </is>
      </c>
      <c r="C4" s="10" t="inlineStr">
        <is>
          <t>P0-9a</t>
        </is>
      </c>
      <c r="D4" s="12" t="inlineStr">
        <is>
          <t>Not run</t>
        </is>
      </c>
      <c r="E4" s="12" t="n"/>
      <c r="F4" s="12" t="n"/>
    </row>
    <row r="5">
      <c r="A5" s="10" t="n">
        <v>0</v>
      </c>
      <c r="B5" s="10" t="inlineStr">
        <is>
          <t>Sera Sync panel warns when the PC's network is set to Public</t>
        </is>
      </c>
      <c r="C5" s="10" t="inlineStr">
        <is>
          <t>P0-9b</t>
        </is>
      </c>
      <c r="D5" s="12" t="inlineStr">
        <is>
          <t>Not run</t>
        </is>
      </c>
      <c r="E5" s="12" t="n"/>
      <c r="F5" s="12" t="n"/>
    </row>
    <row r="6">
      <c r="A6" s="10" t="n">
        <v>0</v>
      </c>
      <c r="B6" s="10" t="inlineStr">
        <is>
          <t>Spare PC: first run → Join office → approve on the other PC → enter office password → app opens</t>
        </is>
      </c>
      <c r="C6" s="10" t="inlineStr">
        <is>
          <t>P0-6</t>
        </is>
      </c>
      <c r="D6" s="12" t="inlineStr">
        <is>
          <t>Not run</t>
        </is>
      </c>
      <c r="E6" s="12" t="n"/>
      <c r="F6" s="12" t="n"/>
    </row>
    <row r="7">
      <c r="A7" s="10" t="n">
        <v>0</v>
      </c>
      <c r="B7" s="10" t="inlineStr">
        <is>
          <t>Manual push from the dialog lands only after the receiving PC restarts, and the DB opens</t>
        </is>
      </c>
      <c r="C7" s="10" t="inlineStr">
        <is>
          <t>P0-4</t>
        </is>
      </c>
      <c r="D7" s="12" t="inlineStr">
        <is>
          <t>Not run</t>
        </is>
      </c>
      <c r="E7" s="12" t="n"/>
      <c r="F7" s="12" t="n"/>
    </row>
    <row r="8">
      <c r="A8" s="10" t="n">
        <v>0</v>
      </c>
      <c r="B8" s="10" t="inlineStr">
        <is>
          <t>A Wi-Fi PC and a wired PC see each other after Add PC by IP</t>
        </is>
      </c>
      <c r="C8" s="10" t="inlineStr">
        <is>
          <t>P0-10</t>
        </is>
      </c>
      <c r="D8" s="12" t="inlineStr">
        <is>
          <t>Not run</t>
        </is>
      </c>
      <c r="E8" s="12" t="n"/>
      <c r="F8" s="12" t="n"/>
    </row>
    <row r="9">
      <c r="A9" s="10" t="n">
        <v>0</v>
      </c>
      <c r="B9" s="10" t="inlineStr">
        <is>
          <t>Editing a client no longer triggers 'Live update synced' toasts on other PCs</t>
        </is>
      </c>
      <c r="C9" s="10" t="inlineStr">
        <is>
          <t>P0-1</t>
        </is>
      </c>
      <c r="D9" s="12" t="inlineStr">
        <is>
          <t>Not run</t>
        </is>
      </c>
      <c r="E9" s="12" t="n"/>
      <c r="F9" s="12" t="n"/>
    </row>
    <row r="10">
      <c r="A10" s="10" t="n">
        <v>1</v>
      </c>
      <c r="B10" s="10" t="inlineStr">
        <is>
          <t>Admin PC: Convert to office key succeeds; app opens without a password prompt</t>
        </is>
      </c>
      <c r="C10" s="10" t="inlineStr">
        <is>
          <t>P1-4</t>
        </is>
      </c>
      <c r="D10" s="12" t="inlineStr">
        <is>
          <t>Not run</t>
        </is>
      </c>
      <c r="E10" s="12" t="n"/>
      <c r="F10" s="12" t="n"/>
    </row>
    <row r="11">
      <c r="A11" s="10" t="n">
        <v>1</v>
      </c>
      <c r="B11" s="10" t="inlineStr">
        <is>
          <t>Recovery kit exported to USB and stored safely</t>
        </is>
      </c>
      <c r="C11" s="10" t="inlineStr">
        <is>
          <t>P1-6</t>
        </is>
      </c>
      <c r="D11" s="12" t="inlineStr">
        <is>
          <t>Not run</t>
        </is>
      </c>
      <c r="E11" s="12" t="n"/>
      <c r="F11" s="12" t="n"/>
    </row>
    <row r="12">
      <c r="A12" s="10" t="n">
        <v>1</v>
      </c>
      <c r="B12" s="10" t="inlineStr">
        <is>
          <t>Log into a second Windows account on the admin PC → recovery dialog → master password unlocks</t>
        </is>
      </c>
      <c r="C12" s="10" t="inlineStr">
        <is>
          <t>P1-6</t>
        </is>
      </c>
      <c r="D12" s="12" t="inlineStr">
        <is>
          <t>Not run</t>
        </is>
      </c>
      <c r="E12" s="12" t="n"/>
      <c r="F12" s="12" t="n"/>
    </row>
    <row r="13">
      <c r="A13" s="10" t="n">
        <v>1</v>
      </c>
      <c r="B13" s="10" t="inlineStr">
        <is>
          <t>DOM Parser and SDC Parser still run on the converted PC</t>
        </is>
      </c>
      <c r="C13" s="10" t="inlineStr">
        <is>
          <t>P1-3</t>
        </is>
      </c>
      <c r="D13" s="12" t="inlineStr">
        <is>
          <t>Not run</t>
        </is>
      </c>
      <c r="E13" s="12" t="n"/>
      <c r="F13" s="12" t="n"/>
    </row>
    <row r="14">
      <c r="A14" s="10" t="n">
        <v>2</v>
      </c>
      <c r="B14" s="10" t="inlineStr">
        <is>
          <t>Add workstation → code → Join office on another PC works end to end</t>
        </is>
      </c>
      <c r="C14" s="10" t="inlineStr">
        <is>
          <t>P2-4, P2-6</t>
        </is>
      </c>
      <c r="D14" s="12" t="inlineStr">
        <is>
          <t>Not run</t>
        </is>
      </c>
      <c r="E14" s="12" t="n"/>
      <c r="F14" s="12" t="n"/>
    </row>
    <row r="15">
      <c r="A15" s="10" t="n">
        <v>2</v>
      </c>
      <c r="B15" s="10" t="inlineStr">
        <is>
          <t>Wrong code 3 times closes the pairing window</t>
        </is>
      </c>
      <c r="C15" s="10" t="inlineStr">
        <is>
          <t>P2-4</t>
        </is>
      </c>
      <c r="D15" s="12" t="inlineStr">
        <is>
          <t>Not run</t>
        </is>
      </c>
      <c r="E15" s="12" t="n"/>
      <c r="F15" s="12" t="n"/>
    </row>
    <row r="16">
      <c r="A16" s="10" t="n">
        <v>2</v>
      </c>
      <c r="B16" s="10" t="inlineStr">
        <is>
          <t>Removed PC can no longer sync (panel shows it as removed)</t>
        </is>
      </c>
      <c r="C16" s="10" t="inlineStr">
        <is>
          <t>P2-7</t>
        </is>
      </c>
      <c r="D16" s="12" t="inlineStr">
        <is>
          <t>Not run</t>
        </is>
      </c>
      <c r="E16" s="12" t="n"/>
      <c r="F16" s="12" t="n"/>
    </row>
    <row r="17">
      <c r="A17" s="10" t="n">
        <v>2</v>
      </c>
      <c r="B17" s="10" t="inlineStr">
        <is>
          <t>Become admin with the master password on a second PC; the old admin PC shows it is no longer admin</t>
        </is>
      </c>
      <c r="C17" s="10" t="inlineStr">
        <is>
          <t>P2-2</t>
        </is>
      </c>
      <c r="D17" s="12" t="inlineStr">
        <is>
          <t>Not run</t>
        </is>
      </c>
      <c r="E17" s="12" t="n"/>
      <c r="F17" s="12" t="n"/>
    </row>
    <row r="18">
      <c r="A18" s="10" t="n">
        <v>2</v>
      </c>
      <c r="B18" s="10" t="inlineStr">
        <is>
          <t>Every legacy PC: Rejoin → salvage dry run reviewed → import; salvage report saved</t>
        </is>
      </c>
      <c r="C18" s="10" t="inlineStr">
        <is>
          <t>P2-8</t>
        </is>
      </c>
      <c r="D18" s="12" t="inlineStr">
        <is>
          <t>Not run</t>
        </is>
      </c>
      <c r="E18" s="12" t="n"/>
      <c r="F18" s="12" t="n"/>
    </row>
    <row r="19">
      <c r="A19" s="10" t="n">
        <v>3</v>
      </c>
      <c r="B19" s="10" t="inlineStr">
        <is>
          <t>Shadow mode on all PCs for 7 days; zero capture mismatches; replica digests converge</t>
        </is>
      </c>
      <c r="C19" s="10" t="inlineStr">
        <is>
          <t>P3-7</t>
        </is>
      </c>
      <c r="D19" s="12" t="inlineStr">
        <is>
          <t>Not run</t>
        </is>
      </c>
      <c r="E19" s="12" t="n"/>
      <c r="F19" s="12" t="n"/>
    </row>
    <row r="20">
      <c r="A20" s="10" t="n">
        <v>3</v>
      </c>
      <c r="B20" s="10" t="inlineStr">
        <is>
          <t>Two people edit different fields of the same client on two PCs → both edits appear everywhere</t>
        </is>
      </c>
      <c r="C20" s="10" t="inlineStr">
        <is>
          <t>P3-4</t>
        </is>
      </c>
      <c r="D20" s="12" t="inlineStr">
        <is>
          <t>Not run</t>
        </is>
      </c>
      <c r="E20" s="12" t="n"/>
      <c r="F20" s="12" t="n"/>
    </row>
    <row r="21">
      <c r="A21" s="10" t="n">
        <v>3</v>
      </c>
      <c r="B21" s="10" t="inlineStr">
        <is>
          <t>Set one PC's clock 2 hours ahead → panel shows the clock warning; set it back</t>
        </is>
      </c>
      <c r="C21" s="10" t="inlineStr">
        <is>
          <t>P3-3</t>
        </is>
      </c>
      <c r="D21" s="12" t="inlineStr">
        <is>
          <t>Not run</t>
        </is>
      </c>
      <c r="E21" s="12" t="n"/>
      <c r="F21" s="12" t="n"/>
    </row>
    <row r="22">
      <c r="A22" s="10" t="n">
        <v>3</v>
      </c>
      <c r="B22" s="10" t="inlineStr">
        <is>
          <t>On a non-admin PC, enter admin mode and change a setting → it appears on every PC</t>
        </is>
      </c>
      <c r="C22" s="10" t="inlineStr">
        <is>
          <t>P3-4</t>
        </is>
      </c>
      <c r="D22" s="12" t="inlineStr">
        <is>
          <t>Not run</t>
        </is>
      </c>
      <c r="E22" s="12" t="n"/>
      <c r="F22" s="12" t="n"/>
    </row>
    <row r="23">
      <c r="A23" s="10" t="n">
        <v>3</v>
      </c>
      <c r="B23" s="10" t="inlineStr">
        <is>
          <t>On a non-admin PC, try to edit the staff list → told to use the admin PC or Become admin</t>
        </is>
      </c>
      <c r="C23" s="10" t="inlineStr">
        <is>
          <t>P3-1</t>
        </is>
      </c>
      <c r="D23" s="12" t="inlineStr">
        <is>
          <t>Not run</t>
        </is>
      </c>
      <c r="E23" s="12" t="n"/>
      <c r="F23" s="12" t="n"/>
    </row>
    <row r="24">
      <c r="A24" s="10" t="n">
        <v>3</v>
      </c>
      <c r="B24" s="10" t="inlineStr">
        <is>
          <t>Go-live restart on every PC; clients count matches on all PCs</t>
        </is>
      </c>
      <c r="C24" s="10" t="inlineStr">
        <is>
          <t>P3-9</t>
        </is>
      </c>
      <c r="D24" s="12" t="inlineStr">
        <is>
          <t>Not run</t>
        </is>
      </c>
      <c r="E24" s="12" t="n"/>
      <c r="F24" s="12" t="n"/>
    </row>
    <row r="25">
      <c r="A25" s="10" t="n">
        <v>4</v>
      </c>
      <c r="B25" s="10" t="inlineStr">
        <is>
          <t>An old 2.x install can no longer push to the office</t>
        </is>
      </c>
      <c r="C25" s="10" t="inlineStr">
        <is>
          <t>P4-1</t>
        </is>
      </c>
      <c r="D25" s="12" t="inlineStr">
        <is>
          <t>Not run</t>
        </is>
      </c>
      <c r="E25" s="12" t="n"/>
      <c r="F25" s="12" t="n"/>
    </row>
    <row r="26">
      <c r="A26" s="10" t="n">
        <v>4</v>
      </c>
      <c r="B26" s="10" t="inlineStr">
        <is>
          <t>A daily backup folder appears in backups/</t>
        </is>
      </c>
      <c r="C26" s="10" t="inlineStr">
        <is>
          <t>P4-3a</t>
        </is>
      </c>
      <c r="D26" s="12" t="inlineStr">
        <is>
          <t>Not run</t>
        </is>
      </c>
      <c r="E26" s="12" t="n"/>
      <c r="F26" s="12" t="n"/>
    </row>
    <row r="27">
      <c r="A27" s="10" t="n">
        <v>4</v>
      </c>
      <c r="B27" s="10" t="inlineStr">
        <is>
          <t>Restore dry run shows sensible counts (cancel at the RESTORE prompt unless you mean it)</t>
        </is>
      </c>
      <c r="C27" s="10" t="inlineStr">
        <is>
          <t>P4-3b</t>
        </is>
      </c>
      <c r="D27" s="12" t="inlineStr">
        <is>
          <t>Not run</t>
        </is>
      </c>
      <c r="E27" s="12" t="n"/>
      <c r="F27" s="12" t="n"/>
    </row>
  </sheetData>
  <conditionalFormatting sqref="D4:D27">
    <cfRule type="expression" priority="1" dxfId="0">
      <formula>D4="Pass"</formula>
    </cfRule>
    <cfRule type="expression" priority="2" dxfId="2">
      <formula>D4="Fail"</formula>
    </cfRule>
  </conditionalFormatting>
  <dataValidations count="1">
    <dataValidation sqref="D4:D27" showDropDown="0" showInputMessage="0" showErrorMessage="0" allowBlank="0" type="list">
      <formula1>"Not run,Pass,Fail"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28" customWidth="1" min="3" max="3"/>
    <col width="22" customWidth="1" min="4" max="4"/>
    <col width="8" customWidth="1" min="5" max="5"/>
    <col width="10" customWidth="1" min="6" max="6"/>
    <col width="8" customWidth="1" min="7" max="7"/>
    <col width="12" customWidth="1" min="8" max="8"/>
    <col width="60" customWidth="1" min="9" max="9"/>
  </cols>
  <sheetData>
    <row r="1">
      <c r="A1" s="5" t="inlineStr">
        <is>
          <t>Model × tier matrix</t>
        </is>
      </c>
    </row>
    <row r="2">
      <c r="A2" s="6" t="inlineStr">
        <is>
          <t>Yes = allowed. Caution = allowed only if a Fable 5.1 / Opus 5.5 session reviews the diff before merge. No = don't use for that tier. Gemini is never used for T3 (owner decision 2026-09-23).</t>
        </is>
      </c>
    </row>
    <row r="4">
      <c r="A4" s="7" t="inlineStr">
        <is>
          <t>Model</t>
        </is>
      </c>
      <c r="B4" s="7" t="inlineStr">
        <is>
          <t>Provider</t>
        </is>
      </c>
      <c r="C4" s="7" t="inlineStr">
        <is>
          <t>Model ID</t>
        </is>
      </c>
      <c r="D4" s="7" t="inlineStr">
        <is>
          <t>Status</t>
        </is>
      </c>
      <c r="E4" s="7" t="inlineStr">
        <is>
          <t>T1</t>
        </is>
      </c>
      <c r="F4" s="7" t="inlineStr">
        <is>
          <t>T2</t>
        </is>
      </c>
      <c r="G4" s="7" t="inlineStr">
        <is>
          <t>T3</t>
        </is>
      </c>
      <c r="H4" s="7" t="inlineStr">
        <is>
          <t>Can review T3 work</t>
        </is>
      </c>
      <c r="I4" s="7" t="inlineStr">
        <is>
          <t>Notes</t>
        </is>
      </c>
    </row>
    <row r="5">
      <c r="A5" s="8" t="inlineStr">
        <is>
          <t>Claude Fable 5.1</t>
        </is>
      </c>
      <c r="B5" s="10" t="inlineStr">
        <is>
          <t>Anthropic</t>
        </is>
      </c>
      <c r="C5" s="10" t="inlineStr">
        <is>
          <t>claude-fable-5-1</t>
        </is>
      </c>
      <c r="D5" s="10" t="inlineStr">
        <is>
          <t>GA (Sep 2026)</t>
        </is>
      </c>
      <c r="E5" s="10" t="inlineStr">
        <is>
          <t>Yes</t>
        </is>
      </c>
      <c r="F5" s="10" t="inlineStr">
        <is>
          <t>Yes</t>
        </is>
      </c>
      <c r="G5" s="10" t="inlineStr">
        <is>
          <t>Yes</t>
        </is>
      </c>
      <c r="H5" s="10" t="inlineStr">
        <is>
          <t>Yes</t>
        </is>
      </c>
      <c r="I5" s="10" t="inlineStr">
        <is>
          <t>Most capable Claude model. First choice for T3 work and all reviews.</t>
        </is>
      </c>
    </row>
    <row r="6">
      <c r="A6" s="8" t="inlineStr">
        <is>
          <t>Claude Opus 5.5</t>
        </is>
      </c>
      <c r="B6" s="10" t="inlineStr">
        <is>
          <t>Anthropic</t>
        </is>
      </c>
      <c r="C6" s="10" t="inlineStr">
        <is>
          <t>claude-opus-5-5</t>
        </is>
      </c>
      <c r="D6" s="10" t="inlineStr">
        <is>
          <t>GA</t>
        </is>
      </c>
      <c r="E6" s="10" t="inlineStr">
        <is>
          <t>Yes</t>
        </is>
      </c>
      <c r="F6" s="10" t="inlineStr">
        <is>
          <t>Yes</t>
        </is>
      </c>
      <c r="G6" s="10" t="inlineStr">
        <is>
          <t>Yes</t>
        </is>
      </c>
      <c r="H6" s="10" t="inlineStr">
        <is>
          <t>Yes</t>
        </is>
      </c>
      <c r="I6" s="10" t="inlineStr">
        <is>
          <t>T3-capable. Alternative to Fable for T3 work and reviews.</t>
        </is>
      </c>
    </row>
    <row r="7">
      <c r="A7" s="8" t="inlineStr">
        <is>
          <t>Claude Sonnet 5</t>
        </is>
      </c>
      <c r="B7" s="10" t="inlineStr">
        <is>
          <t>Anthropic</t>
        </is>
      </c>
      <c r="C7" s="10" t="inlineStr">
        <is>
          <t>claude-sonnet-5</t>
        </is>
      </c>
      <c r="D7" s="10" t="inlineStr">
        <is>
          <t>GA</t>
        </is>
      </c>
      <c r="E7" s="10" t="inlineStr">
        <is>
          <t>Yes</t>
        </is>
      </c>
      <c r="F7" s="10" t="inlineStr">
        <is>
          <t>Yes</t>
        </is>
      </c>
      <c r="G7" s="10" t="inlineStr">
        <is>
          <t>No</t>
        </is>
      </c>
      <c r="H7" s="10" t="inlineStr">
        <is>
          <t>No</t>
        </is>
      </c>
      <c r="I7" s="10" t="inlineStr">
        <is>
          <t>Default for T2.</t>
        </is>
      </c>
    </row>
    <row r="8">
      <c r="A8" s="8" t="inlineStr">
        <is>
          <t>Claude Haiku 4.5</t>
        </is>
      </c>
      <c r="B8" s="10" t="inlineStr">
        <is>
          <t>Anthropic</t>
        </is>
      </c>
      <c r="C8" s="10" t="inlineStr">
        <is>
          <t>claude-haiku-4-5-20251001</t>
        </is>
      </c>
      <c r="D8" s="10" t="inlineStr">
        <is>
          <t>GA</t>
        </is>
      </c>
      <c r="E8" s="10" t="inlineStr">
        <is>
          <t>Yes</t>
        </is>
      </c>
      <c r="F8" s="10" t="inlineStr">
        <is>
          <t>No</t>
        </is>
      </c>
      <c r="G8" s="10" t="inlineStr">
        <is>
          <t>No</t>
        </is>
      </c>
      <c r="H8" s="10" t="inlineStr">
        <is>
          <t>No</t>
        </is>
      </c>
      <c r="I8" s="10" t="inlineStr">
        <is>
          <t>Default for T1.</t>
        </is>
      </c>
    </row>
    <row r="9">
      <c r="A9" s="8" t="inlineStr">
        <is>
          <t>Gemini 3.8 Flash</t>
        </is>
      </c>
      <c r="B9" s="10" t="inlineStr">
        <is>
          <t>Google</t>
        </is>
      </c>
      <c r="C9" s="10" t="inlineStr">
        <is>
          <t>gemini-3.8-flash</t>
        </is>
      </c>
      <c r="D9" s="10" t="inlineStr">
        <is>
          <t>Stable (GA 2026-09-02)</t>
        </is>
      </c>
      <c r="E9" s="10" t="inlineStr">
        <is>
          <t>Yes</t>
        </is>
      </c>
      <c r="F9" s="10" t="inlineStr">
        <is>
          <t>Yes</t>
        </is>
      </c>
      <c r="G9" s="10" t="inlineStr">
        <is>
          <t>No</t>
        </is>
      </c>
      <c r="H9" s="10" t="inlineStr">
        <is>
          <t>No</t>
        </is>
      </c>
      <c r="I9" s="10" t="inlineStr">
        <is>
          <t>Best Gemini choice for T2 (Google: long-horizon software engineering, agents).</t>
        </is>
      </c>
    </row>
    <row r="10">
      <c r="A10" s="8" t="inlineStr">
        <is>
          <t>Gemini 3.1 Pro</t>
        </is>
      </c>
      <c r="B10" s="10" t="inlineStr">
        <is>
          <t>Google</t>
        </is>
      </c>
      <c r="C10" s="10" t="inlineStr">
        <is>
          <t>gemini-3.1-pro-preview</t>
        </is>
      </c>
      <c r="D10" s="10" t="inlineStr">
        <is>
          <t>Preview</t>
        </is>
      </c>
      <c r="E10" s="10" t="inlineStr">
        <is>
          <t>Yes</t>
        </is>
      </c>
      <c r="F10" s="10" t="inlineStr">
        <is>
          <t>Yes</t>
        </is>
      </c>
      <c r="G10" s="10" t="inlineStr">
        <is>
          <t>No</t>
        </is>
      </c>
      <c r="H10" s="10" t="inlineStr">
        <is>
          <t>No</t>
        </is>
      </c>
      <c r="I10" s="10" t="inlineStr">
        <is>
          <t>Strong reasoning; preview model, so behaviour can change between sessions.</t>
        </is>
      </c>
    </row>
    <row r="11">
      <c r="A11" s="8" t="inlineStr">
        <is>
          <t>Gemini 3.7 Flash</t>
        </is>
      </c>
      <c r="B11" s="10" t="inlineStr">
        <is>
          <t>Google</t>
        </is>
      </c>
      <c r="C11" s="10" t="inlineStr">
        <is>
          <t>gemini-3.7-flash</t>
        </is>
      </c>
      <c r="D11" s="10" t="inlineStr">
        <is>
          <t>Stable</t>
        </is>
      </c>
      <c r="E11" s="10" t="inlineStr">
        <is>
          <t>Yes</t>
        </is>
      </c>
      <c r="F11" s="10" t="inlineStr">
        <is>
          <t>Yes</t>
        </is>
      </c>
      <c r="G11" s="10" t="inlineStr">
        <is>
          <t>No</t>
        </is>
      </c>
      <c r="H11" s="10" t="inlineStr">
        <is>
          <t>No</t>
        </is>
      </c>
      <c r="I11" s="10" t="inlineStr">
        <is>
          <t>Previous-generation Flash for complex coding; fine for T2.</t>
        </is>
      </c>
    </row>
    <row r="12">
      <c r="A12" s="8" t="inlineStr">
        <is>
          <t>Gemini 3.6 Flash</t>
        </is>
      </c>
      <c r="B12" s="10" t="inlineStr">
        <is>
          <t>Google</t>
        </is>
      </c>
      <c r="C12" s="10" t="inlineStr">
        <is>
          <t>gemini-3.6-flash</t>
        </is>
      </c>
      <c r="D12" s="10" t="inlineStr">
        <is>
          <t>Stable</t>
        </is>
      </c>
      <c r="E12" s="10" t="inlineStr">
        <is>
          <t>Yes</t>
        </is>
      </c>
      <c r="F12" s="10" t="inlineStr">
        <is>
          <t>Caution</t>
        </is>
      </c>
      <c r="G12" s="10" t="inlineStr">
        <is>
          <t>No</t>
        </is>
      </c>
      <c r="H12" s="10" t="inlineStr">
        <is>
          <t>No</t>
        </is>
      </c>
      <c r="I12" s="10" t="inlineStr">
        <is>
          <t>T2 only with a Fable/Opus review of the diff.</t>
        </is>
      </c>
    </row>
    <row r="13">
      <c r="A13" s="8" t="inlineStr">
        <is>
          <t>Gemini 3 Flash</t>
        </is>
      </c>
      <c r="B13" s="10" t="inlineStr">
        <is>
          <t>Google</t>
        </is>
      </c>
      <c r="C13" s="10" t="inlineStr">
        <is>
          <t>gemini-3-flash-preview</t>
        </is>
      </c>
      <c r="D13" s="10" t="inlineStr">
        <is>
          <t>Preview</t>
        </is>
      </c>
      <c r="E13" s="10" t="inlineStr">
        <is>
          <t>Yes</t>
        </is>
      </c>
      <c r="F13" s="10" t="inlineStr">
        <is>
          <t>Caution</t>
        </is>
      </c>
      <c r="G13" s="10" t="inlineStr">
        <is>
          <t>No</t>
        </is>
      </c>
      <c r="H13" s="10" t="inlineStr">
        <is>
          <t>No</t>
        </is>
      </c>
      <c r="I13" s="10" t="inlineStr">
        <is>
          <t>Older preview; T2 only with a Fable/Opus review of the diff.</t>
        </is>
      </c>
    </row>
    <row r="14">
      <c r="A14" s="8" t="inlineStr">
        <is>
          <t>Gemini 2.5 Pro</t>
        </is>
      </c>
      <c r="B14" s="10" t="inlineStr">
        <is>
          <t>Google</t>
        </is>
      </c>
      <c r="C14" s="10" t="inlineStr">
        <is>
          <t>gemini-2.5-pro</t>
        </is>
      </c>
      <c r="D14" s="10" t="inlineStr">
        <is>
          <t>Legacy (access-limited)</t>
        </is>
      </c>
      <c r="E14" s="10" t="inlineStr">
        <is>
          <t>Yes</t>
        </is>
      </c>
      <c r="F14" s="10" t="inlineStr">
        <is>
          <t>Caution</t>
        </is>
      </c>
      <c r="G14" s="10" t="inlineStr">
        <is>
          <t>No</t>
        </is>
      </c>
      <c r="H14" s="10" t="inlineStr">
        <is>
          <t>No</t>
        </is>
      </c>
      <c r="I14" s="10" t="inlineStr">
        <is>
          <t>Only if your account still has access; T2 only with review.</t>
        </is>
      </c>
    </row>
    <row r="15">
      <c r="A15" s="8" t="inlineStr">
        <is>
          <t>Gemini 3.5 Flash</t>
        </is>
      </c>
      <c r="B15" s="10" t="inlineStr">
        <is>
          <t>Google</t>
        </is>
      </c>
      <c r="C15" s="10" t="inlineStr">
        <is>
          <t>gemini-3.5-flash</t>
        </is>
      </c>
      <c r="D15" s="10" t="inlineStr">
        <is>
          <t>Stable (legacy)</t>
        </is>
      </c>
      <c r="E15" s="10" t="inlineStr">
        <is>
          <t>Yes</t>
        </is>
      </c>
      <c r="F15" s="10" t="inlineStr">
        <is>
          <t>No</t>
        </is>
      </c>
      <c r="G15" s="10" t="inlineStr">
        <is>
          <t>No</t>
        </is>
      </c>
      <c r="H15" s="10" t="inlineStr">
        <is>
          <t>No</t>
        </is>
      </c>
      <c r="I15" s="10" t="inlineStr">
        <is>
          <t>Baseline model; T1 only.</t>
        </is>
      </c>
    </row>
    <row r="16">
      <c r="A16" s="8" t="inlineStr">
        <is>
          <t>Gemini 3.5 Flash-Lite</t>
        </is>
      </c>
      <c r="B16" s="10" t="inlineStr">
        <is>
          <t>Google</t>
        </is>
      </c>
      <c r="C16" s="10" t="inlineStr">
        <is>
          <t>gemini-3.5-flash-lite</t>
        </is>
      </c>
      <c r="D16" s="10" t="inlineStr">
        <is>
          <t>Stable</t>
        </is>
      </c>
      <c r="E16" s="10" t="inlineStr">
        <is>
          <t>Yes</t>
        </is>
      </c>
      <c r="F16" s="10" t="inlineStr">
        <is>
          <t>No</t>
        </is>
      </c>
      <c r="G16" s="10" t="inlineStr">
        <is>
          <t>No</t>
        </is>
      </c>
      <c r="H16" s="10" t="inlineStr">
        <is>
          <t>No</t>
        </is>
      </c>
      <c r="I16" s="10" t="inlineStr">
        <is>
          <t>Fast/cheap; T1 only.</t>
        </is>
      </c>
    </row>
    <row r="17">
      <c r="A17" s="8" t="inlineStr">
        <is>
          <t>Gemini 3.1 Flash-Lite</t>
        </is>
      </c>
      <c r="B17" s="10" t="inlineStr">
        <is>
          <t>Google</t>
        </is>
      </c>
      <c r="C17" s="10" t="inlineStr">
        <is>
          <t>gemini-3.1-flash-lite</t>
        </is>
      </c>
      <c r="D17" s="10" t="inlineStr">
        <is>
          <t>Stable</t>
        </is>
      </c>
      <c r="E17" s="10" t="inlineStr">
        <is>
          <t>Yes</t>
        </is>
      </c>
      <c r="F17" s="10" t="inlineStr">
        <is>
          <t>No</t>
        </is>
      </c>
      <c r="G17" s="10" t="inlineStr">
        <is>
          <t>No</t>
        </is>
      </c>
      <c r="H17" s="10" t="inlineStr">
        <is>
          <t>No</t>
        </is>
      </c>
      <c r="I17" s="10" t="inlineStr">
        <is>
          <t>Fast/cheap; T1 only.</t>
        </is>
      </c>
    </row>
    <row r="18">
      <c r="A18" s="8" t="inlineStr">
        <is>
          <t>Gemini 2.5 Flash</t>
        </is>
      </c>
      <c r="B18" s="10" t="inlineStr">
        <is>
          <t>Google</t>
        </is>
      </c>
      <c r="C18" s="10" t="inlineStr">
        <is>
          <t>gemini-2.5-flash</t>
        </is>
      </c>
      <c r="D18" s="10" t="inlineStr">
        <is>
          <t>Legacy (access-limited)</t>
        </is>
      </c>
      <c r="E18" s="10" t="inlineStr">
        <is>
          <t>Yes</t>
        </is>
      </c>
      <c r="F18" s="10" t="inlineStr">
        <is>
          <t>No</t>
        </is>
      </c>
      <c r="G18" s="10" t="inlineStr">
        <is>
          <t>No</t>
        </is>
      </c>
      <c r="H18" s="10" t="inlineStr">
        <is>
          <t>No</t>
        </is>
      </c>
      <c r="I18" s="10" t="inlineStr">
        <is>
          <t>T1 only.</t>
        </is>
      </c>
    </row>
    <row r="19">
      <c r="A19" s="8" t="inlineStr">
        <is>
          <t>Gemini 2.5 Flash-Lite</t>
        </is>
      </c>
      <c r="B19" s="10" t="inlineStr">
        <is>
          <t>Google</t>
        </is>
      </c>
      <c r="C19" s="10" t="inlineStr">
        <is>
          <t>gemini-2.5-flash-lite</t>
        </is>
      </c>
      <c r="D19" s="10" t="inlineStr">
        <is>
          <t>Legacy (access-limited)</t>
        </is>
      </c>
      <c r="E19" s="10" t="inlineStr">
        <is>
          <t>Yes</t>
        </is>
      </c>
      <c r="F19" s="10" t="inlineStr">
        <is>
          <t>No</t>
        </is>
      </c>
      <c r="G19" s="10" t="inlineStr">
        <is>
          <t>No</t>
        </is>
      </c>
      <c r="H19" s="10" t="inlineStr">
        <is>
          <t>No</t>
        </is>
      </c>
      <c r="I19" s="10" t="inlineStr">
        <is>
          <t>T1 only.</t>
        </is>
      </c>
    </row>
    <row r="20"/>
    <row r="21">
      <c r="A21" s="16" t="inlineStr">
        <is>
          <t>Human reviewer</t>
        </is>
      </c>
      <c r="B21" s="6" t="inlineStr">
        <is>
          <t>A person can replace the Fable/Opus review; review against the blueprint's §0, §2 and the WP's §5 entry.</t>
        </is>
      </c>
    </row>
    <row r="23">
      <c r="A23" s="16" t="inlineStr">
        <is>
          <t>Sources</t>
        </is>
      </c>
    </row>
    <row r="24">
      <c r="A24" s="6" t="inlineStr">
        <is>
          <t>Gemini list: Google AI for Developers, 'Models | Gemini API', https://ai.google.dev/gemini-api/docs/models (fetched 2026-09-23). Claude list: Claude Code environment model list + Anthropic Fable 5.1 announcement (anthropic.com/claude-fable-and-mythos-5-1).</t>
        </is>
      </c>
    </row>
    <row r="25">
      <c r="A25" s="6" t="inlineStr">
        <is>
          <t>Tier permissions (Yes/Caution/No) are Claude's recommendation for this project, not vendor ratings. Re-check the Gemini list before each phase; Google renames and retires models often.</t>
        </is>
      </c>
    </row>
    <row r="27">
      <c r="A27" s="16" t="inlineStr">
        <is>
          <t>Tier defaults (used by the Work Packages sheet)</t>
        </is>
      </c>
    </row>
    <row r="28">
      <c r="A28" s="18" t="inlineStr">
        <is>
          <t>Tier</t>
        </is>
      </c>
      <c r="B28" s="18" t="inlineStr">
        <is>
          <t>Meaning</t>
        </is>
      </c>
      <c r="C28" s="18" t="inlineStr">
        <is>
          <t>Recommended Claude</t>
        </is>
      </c>
      <c r="D28" s="18" t="inlineStr">
        <is>
          <t>Gemini allowed</t>
        </is>
      </c>
    </row>
    <row r="29">
      <c r="A29" s="8" t="inlineStr">
        <is>
          <t>T1</t>
        </is>
      </c>
      <c r="B29" s="10" t="inlineStr">
        <is>
          <t>Mechanical</t>
        </is>
      </c>
      <c r="C29" s="10" t="inlineStr">
        <is>
          <t>Claude Haiku 4.5</t>
        </is>
      </c>
      <c r="D29" s="10" t="inlineStr">
        <is>
          <t>Any Gemini model on the Models sheet</t>
        </is>
      </c>
    </row>
    <row r="30">
      <c r="A30" s="8" t="inlineStr">
        <is>
          <t>T2</t>
        </is>
      </c>
      <c r="B30" s="10" t="inlineStr">
        <is>
          <t>Standard</t>
        </is>
      </c>
      <c r="C30" s="10" t="inlineStr">
        <is>
          <t>Claude Sonnet 5</t>
        </is>
      </c>
      <c r="D30" s="10" t="inlineStr">
        <is>
          <t>Gemini 3.8 Flash, 3.1 Pro, 3.7 Flash (3.6 Flash / 3 Flash / 2.5 Pro only with review)</t>
        </is>
      </c>
    </row>
    <row r="31">
      <c r="A31" s="8" t="inlineStr">
        <is>
          <t>T3</t>
        </is>
      </c>
      <c r="B31" s="10" t="inlineStr">
        <is>
          <t>Expert</t>
        </is>
      </c>
      <c r="C31" s="10" t="inlineStr">
        <is>
          <t>Claude Fable 5.1 or Opus 5.5</t>
        </is>
      </c>
      <c r="D31" s="10" t="inlineStr">
        <is>
          <t>Not allowed (owner decision)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2026-09-23T09:22:05Z</dcterms:created>
  <dcterms:modified xmlns:dcterms="http://purl.org/dc/terms/" xmlns:xsi="http://www.w3.org/2001/XMLSchema-instance" xsi:type="dcterms:W3CDTF">2026-09-24T07:29:06Z</dcterms:modified>
</cp:coreProperties>
</file>