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APP\docs\"/>
    </mc:Choice>
  </mc:AlternateContent>
  <xr:revisionPtr revIDLastSave="0" documentId="13_ncr:1_{B9D68C9A-DE6A-45DC-94B2-113436366D9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w to use" sheetId="1" r:id="rId1"/>
    <sheet name="Work Packages" sheetId="2" r:id="rId2"/>
    <sheet name="Summary" sheetId="3" r:id="rId3"/>
    <sheet name="Phase Checks" sheetId="4" r:id="rId4"/>
    <sheet name="Models" sheetId="5" r:id="rId5"/>
    <sheet name="StatusData" sheetId="6" state="hidden" r:id="rId6"/>
    <sheet name="ChecksData" sheetId="7" state="hidden" r:id="rId7"/>
  </sheets>
  <definedNames>
    <definedName name="_xlnm._FilterDatabase" localSheetId="1" hidden="1">'Work Packages'!$A$4:$Q$50</definedName>
    <definedName name="ExternalData_1" localSheetId="6" hidden="1">ChecksData!$A$1:$D$25</definedName>
    <definedName name="ExternalData_1" localSheetId="5" hidden="1">StatusData!$A$1:$G$47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7" i="4" l="1"/>
  <c r="F27" i="4"/>
  <c r="E27" i="4"/>
  <c r="G26" i="4"/>
  <c r="F26" i="4"/>
  <c r="E26" i="4"/>
  <c r="G25" i="4"/>
  <c r="F25" i="4"/>
  <c r="E25" i="4"/>
  <c r="G24" i="4"/>
  <c r="F24" i="4"/>
  <c r="E24" i="4"/>
  <c r="G23" i="4"/>
  <c r="F23" i="4"/>
  <c r="E23" i="4"/>
  <c r="G22" i="4"/>
  <c r="F22" i="4"/>
  <c r="E22" i="4"/>
  <c r="G21" i="4"/>
  <c r="F21" i="4"/>
  <c r="E21" i="4"/>
  <c r="G20" i="4"/>
  <c r="F20" i="4"/>
  <c r="E20" i="4"/>
  <c r="G19" i="4"/>
  <c r="F19" i="4"/>
  <c r="E19" i="4"/>
  <c r="G18" i="4"/>
  <c r="F18" i="4"/>
  <c r="E18" i="4"/>
  <c r="G17" i="4"/>
  <c r="F17" i="4"/>
  <c r="E17" i="4"/>
  <c r="G16" i="4"/>
  <c r="F16" i="4"/>
  <c r="E16" i="4"/>
  <c r="G15" i="4"/>
  <c r="F15" i="4"/>
  <c r="E15" i="4"/>
  <c r="G14" i="4"/>
  <c r="F14" i="4"/>
  <c r="E14" i="4"/>
  <c r="G13" i="4"/>
  <c r="F13" i="4"/>
  <c r="E13" i="4"/>
  <c r="G12" i="4"/>
  <c r="F12" i="4"/>
  <c r="E12" i="4"/>
  <c r="G11" i="4"/>
  <c r="F11" i="4"/>
  <c r="E11" i="4"/>
  <c r="G10" i="4"/>
  <c r="F10" i="4"/>
  <c r="E10" i="4"/>
  <c r="G9" i="4"/>
  <c r="F9" i="4"/>
  <c r="E9" i="4"/>
  <c r="G8" i="4"/>
  <c r="F8" i="4"/>
  <c r="E8" i="4"/>
  <c r="G7" i="4"/>
  <c r="F7" i="4"/>
  <c r="E7" i="4"/>
  <c r="G6" i="4"/>
  <c r="F6" i="4"/>
  <c r="E6" i="4"/>
  <c r="G5" i="4"/>
  <c r="F5" i="4"/>
  <c r="E5" i="4"/>
  <c r="G4" i="4"/>
  <c r="F4" i="4"/>
  <c r="E4" i="4"/>
  <c r="D17" i="3"/>
  <c r="E15" i="3"/>
  <c r="C15" i="3"/>
  <c r="E14" i="3"/>
  <c r="C14" i="3"/>
  <c r="E13" i="3"/>
  <c r="C13" i="3"/>
  <c r="C8" i="3"/>
  <c r="C7" i="3"/>
  <c r="C6" i="3"/>
  <c r="C5" i="3"/>
  <c r="C4" i="3"/>
  <c r="Q50" i="2"/>
  <c r="P50" i="2"/>
  <c r="O50" i="2"/>
  <c r="M50" i="2"/>
  <c r="N50" i="2" s="1"/>
  <c r="J50" i="2"/>
  <c r="I50" i="2"/>
  <c r="H50" i="2"/>
  <c r="Q49" i="2"/>
  <c r="P49" i="2"/>
  <c r="O49" i="2"/>
  <c r="M49" i="2"/>
  <c r="N49" i="2" s="1"/>
  <c r="J49" i="2"/>
  <c r="I49" i="2"/>
  <c r="H49" i="2"/>
  <c r="Q48" i="2"/>
  <c r="P48" i="2"/>
  <c r="O48" i="2"/>
  <c r="M48" i="2"/>
  <c r="N48" i="2" s="1"/>
  <c r="J48" i="2"/>
  <c r="I48" i="2"/>
  <c r="H48" i="2"/>
  <c r="Q47" i="2"/>
  <c r="P47" i="2"/>
  <c r="O47" i="2"/>
  <c r="M47" i="2"/>
  <c r="N47" i="2" s="1"/>
  <c r="J47" i="2"/>
  <c r="I47" i="2"/>
  <c r="H47" i="2"/>
  <c r="Q46" i="2"/>
  <c r="P46" i="2"/>
  <c r="O46" i="2"/>
  <c r="M46" i="2"/>
  <c r="N46" i="2" s="1"/>
  <c r="J46" i="2"/>
  <c r="I46" i="2"/>
  <c r="H46" i="2"/>
  <c r="Q45" i="2"/>
  <c r="P45" i="2"/>
  <c r="O45" i="2"/>
  <c r="M45" i="2"/>
  <c r="N45" i="2" s="1"/>
  <c r="J45" i="2"/>
  <c r="I45" i="2"/>
  <c r="H45" i="2"/>
  <c r="Q44" i="2"/>
  <c r="P44" i="2"/>
  <c r="O44" i="2"/>
  <c r="M44" i="2"/>
  <c r="N44" i="2" s="1"/>
  <c r="J44" i="2"/>
  <c r="I44" i="2"/>
  <c r="H44" i="2"/>
  <c r="Q43" i="2"/>
  <c r="P43" i="2"/>
  <c r="O43" i="2"/>
  <c r="M43" i="2"/>
  <c r="N43" i="2" s="1"/>
  <c r="J43" i="2"/>
  <c r="I43" i="2"/>
  <c r="H43" i="2"/>
  <c r="Q42" i="2"/>
  <c r="P42" i="2"/>
  <c r="O42" i="2"/>
  <c r="M42" i="2"/>
  <c r="N42" i="2" s="1"/>
  <c r="J42" i="2"/>
  <c r="I42" i="2"/>
  <c r="H42" i="2"/>
  <c r="Q41" i="2"/>
  <c r="P41" i="2"/>
  <c r="O41" i="2"/>
  <c r="M41" i="2"/>
  <c r="N41" i="2" s="1"/>
  <c r="J41" i="2"/>
  <c r="I41" i="2"/>
  <c r="H41" i="2"/>
  <c r="Q40" i="2"/>
  <c r="P40" i="2"/>
  <c r="O40" i="2"/>
  <c r="M40" i="2"/>
  <c r="N40" i="2" s="1"/>
  <c r="J40" i="2"/>
  <c r="I40" i="2"/>
  <c r="H40" i="2"/>
  <c r="Q39" i="2"/>
  <c r="P39" i="2"/>
  <c r="O39" i="2"/>
  <c r="M39" i="2"/>
  <c r="N39" i="2" s="1"/>
  <c r="J39" i="2"/>
  <c r="I39" i="2"/>
  <c r="H39" i="2"/>
  <c r="Q38" i="2"/>
  <c r="P38" i="2"/>
  <c r="O38" i="2"/>
  <c r="M38" i="2"/>
  <c r="N38" i="2" s="1"/>
  <c r="J38" i="2"/>
  <c r="I38" i="2"/>
  <c r="H38" i="2"/>
  <c r="Q37" i="2"/>
  <c r="P37" i="2"/>
  <c r="O37" i="2"/>
  <c r="M37" i="2"/>
  <c r="N37" i="2" s="1"/>
  <c r="J37" i="2"/>
  <c r="I37" i="2"/>
  <c r="H37" i="2"/>
  <c r="Q36" i="2"/>
  <c r="P36" i="2"/>
  <c r="O36" i="2"/>
  <c r="M36" i="2"/>
  <c r="N36" i="2" s="1"/>
  <c r="J36" i="2"/>
  <c r="I36" i="2"/>
  <c r="H36" i="2"/>
  <c r="Q35" i="2"/>
  <c r="P35" i="2"/>
  <c r="O35" i="2"/>
  <c r="M35" i="2"/>
  <c r="N35" i="2" s="1"/>
  <c r="J35" i="2"/>
  <c r="I35" i="2"/>
  <c r="H35" i="2"/>
  <c r="Q34" i="2"/>
  <c r="P34" i="2"/>
  <c r="O34" i="2"/>
  <c r="M34" i="2"/>
  <c r="N34" i="2" s="1"/>
  <c r="J34" i="2"/>
  <c r="I34" i="2"/>
  <c r="H34" i="2"/>
  <c r="Q33" i="2"/>
  <c r="P33" i="2"/>
  <c r="O33" i="2"/>
  <c r="M33" i="2"/>
  <c r="N33" i="2" s="1"/>
  <c r="J33" i="2"/>
  <c r="I33" i="2"/>
  <c r="H33" i="2"/>
  <c r="Q32" i="2"/>
  <c r="P32" i="2"/>
  <c r="O32" i="2"/>
  <c r="M32" i="2"/>
  <c r="N32" i="2" s="1"/>
  <c r="L32" i="2"/>
  <c r="J32" i="2"/>
  <c r="K32" i="2" s="1"/>
  <c r="R32" i="2" s="1"/>
  <c r="I32" i="2"/>
  <c r="H32" i="2"/>
  <c r="Q31" i="2"/>
  <c r="P31" i="2"/>
  <c r="O31" i="2"/>
  <c r="M31" i="2"/>
  <c r="N31" i="2" s="1"/>
  <c r="J31" i="2"/>
  <c r="I31" i="2"/>
  <c r="H31" i="2"/>
  <c r="Q30" i="2"/>
  <c r="P30" i="2"/>
  <c r="O30" i="2"/>
  <c r="M30" i="2"/>
  <c r="N30" i="2" s="1"/>
  <c r="J30" i="2"/>
  <c r="I30" i="2"/>
  <c r="H30" i="2"/>
  <c r="Q29" i="2"/>
  <c r="P29" i="2"/>
  <c r="O29" i="2"/>
  <c r="M29" i="2"/>
  <c r="N29" i="2" s="1"/>
  <c r="J29" i="2"/>
  <c r="I29" i="2"/>
  <c r="H29" i="2"/>
  <c r="Q28" i="2"/>
  <c r="P28" i="2"/>
  <c r="O28" i="2"/>
  <c r="M28" i="2"/>
  <c r="N28" i="2" s="1"/>
  <c r="J28" i="2"/>
  <c r="I28" i="2"/>
  <c r="H28" i="2"/>
  <c r="Q27" i="2"/>
  <c r="P27" i="2"/>
  <c r="O27" i="2"/>
  <c r="M27" i="2"/>
  <c r="N27" i="2" s="1"/>
  <c r="J27" i="2"/>
  <c r="I27" i="2"/>
  <c r="H27" i="2"/>
  <c r="Q26" i="2"/>
  <c r="P26" i="2"/>
  <c r="O26" i="2"/>
  <c r="M26" i="2"/>
  <c r="N26" i="2" s="1"/>
  <c r="J26" i="2"/>
  <c r="I26" i="2"/>
  <c r="H26" i="2"/>
  <c r="Q25" i="2"/>
  <c r="P25" i="2"/>
  <c r="O25" i="2"/>
  <c r="M25" i="2"/>
  <c r="N25" i="2" s="1"/>
  <c r="J25" i="2"/>
  <c r="I25" i="2"/>
  <c r="H25" i="2"/>
  <c r="Q24" i="2"/>
  <c r="P24" i="2"/>
  <c r="O24" i="2"/>
  <c r="M24" i="2"/>
  <c r="N24" i="2" s="1"/>
  <c r="J24" i="2"/>
  <c r="I24" i="2"/>
  <c r="H24" i="2"/>
  <c r="Q23" i="2"/>
  <c r="P23" i="2"/>
  <c r="O23" i="2"/>
  <c r="M23" i="2"/>
  <c r="N23" i="2" s="1"/>
  <c r="J23" i="2"/>
  <c r="I23" i="2"/>
  <c r="H23" i="2"/>
  <c r="Q22" i="2"/>
  <c r="P22" i="2"/>
  <c r="O22" i="2"/>
  <c r="M22" i="2"/>
  <c r="N22" i="2" s="1"/>
  <c r="J22" i="2"/>
  <c r="I22" i="2"/>
  <c r="H22" i="2"/>
  <c r="Q21" i="2"/>
  <c r="P21" i="2"/>
  <c r="O21" i="2"/>
  <c r="M21" i="2"/>
  <c r="N21" i="2" s="1"/>
  <c r="J21" i="2"/>
  <c r="I21" i="2"/>
  <c r="H21" i="2"/>
  <c r="Q20" i="2"/>
  <c r="P20" i="2"/>
  <c r="O20" i="2"/>
  <c r="M20" i="2"/>
  <c r="N20" i="2" s="1"/>
  <c r="J20" i="2"/>
  <c r="I20" i="2"/>
  <c r="H20" i="2"/>
  <c r="Q19" i="2"/>
  <c r="P19" i="2"/>
  <c r="O19" i="2"/>
  <c r="M19" i="2"/>
  <c r="N19" i="2" s="1"/>
  <c r="J19" i="2"/>
  <c r="I19" i="2"/>
  <c r="H19" i="2"/>
  <c r="Q18" i="2"/>
  <c r="P18" i="2"/>
  <c r="O18" i="2"/>
  <c r="M18" i="2"/>
  <c r="N18" i="2" s="1"/>
  <c r="J18" i="2"/>
  <c r="I18" i="2"/>
  <c r="H18" i="2"/>
  <c r="Q17" i="2"/>
  <c r="P17" i="2"/>
  <c r="O17" i="2"/>
  <c r="M17" i="2"/>
  <c r="N17" i="2" s="1"/>
  <c r="J17" i="2"/>
  <c r="I17" i="2"/>
  <c r="H17" i="2"/>
  <c r="Q16" i="2"/>
  <c r="P16" i="2"/>
  <c r="O16" i="2"/>
  <c r="M16" i="2"/>
  <c r="N16" i="2" s="1"/>
  <c r="J16" i="2"/>
  <c r="I16" i="2"/>
  <c r="H16" i="2"/>
  <c r="Q15" i="2"/>
  <c r="P15" i="2"/>
  <c r="O15" i="2"/>
  <c r="M15" i="2"/>
  <c r="N15" i="2" s="1"/>
  <c r="L15" i="2"/>
  <c r="J15" i="2"/>
  <c r="K15" i="2" s="1"/>
  <c r="R15" i="2" s="1"/>
  <c r="I15" i="2"/>
  <c r="H15" i="2"/>
  <c r="Q14" i="2"/>
  <c r="P14" i="2"/>
  <c r="O14" i="2"/>
  <c r="M14" i="2"/>
  <c r="N14" i="2" s="1"/>
  <c r="L14" i="2"/>
  <c r="J14" i="2"/>
  <c r="K14" i="2" s="1"/>
  <c r="R14" i="2" s="1"/>
  <c r="I14" i="2"/>
  <c r="H14" i="2"/>
  <c r="Q13" i="2"/>
  <c r="P13" i="2"/>
  <c r="O13" i="2"/>
  <c r="M13" i="2"/>
  <c r="N13" i="2" s="1"/>
  <c r="L13" i="2"/>
  <c r="J13" i="2"/>
  <c r="K13" i="2" s="1"/>
  <c r="R13" i="2" s="1"/>
  <c r="I13" i="2"/>
  <c r="H13" i="2"/>
  <c r="Q12" i="2"/>
  <c r="P12" i="2"/>
  <c r="O12" i="2"/>
  <c r="M12" i="2"/>
  <c r="N12" i="2" s="1"/>
  <c r="L12" i="2"/>
  <c r="J12" i="2"/>
  <c r="K12" i="2" s="1"/>
  <c r="R12" i="2" s="1"/>
  <c r="I12" i="2"/>
  <c r="H12" i="2"/>
  <c r="Q11" i="2"/>
  <c r="P11" i="2"/>
  <c r="O11" i="2"/>
  <c r="M11" i="2"/>
  <c r="N11" i="2" s="1"/>
  <c r="J11" i="2"/>
  <c r="I11" i="2"/>
  <c r="H11" i="2"/>
  <c r="Q10" i="2"/>
  <c r="P10" i="2"/>
  <c r="O10" i="2"/>
  <c r="M10" i="2"/>
  <c r="N10" i="2" s="1"/>
  <c r="J10" i="2"/>
  <c r="I10" i="2"/>
  <c r="H10" i="2"/>
  <c r="Q9" i="2"/>
  <c r="P9" i="2"/>
  <c r="O9" i="2"/>
  <c r="M9" i="2"/>
  <c r="N9" i="2" s="1"/>
  <c r="L9" i="2"/>
  <c r="J9" i="2"/>
  <c r="K9" i="2" s="1"/>
  <c r="R9" i="2" s="1"/>
  <c r="I9" i="2"/>
  <c r="H9" i="2"/>
  <c r="Q8" i="2"/>
  <c r="P8" i="2"/>
  <c r="O8" i="2"/>
  <c r="M8" i="2"/>
  <c r="N8" i="2" s="1"/>
  <c r="J8" i="2"/>
  <c r="I8" i="2"/>
  <c r="H8" i="2"/>
  <c r="Q7" i="2"/>
  <c r="P7" i="2"/>
  <c r="O7" i="2"/>
  <c r="M7" i="2"/>
  <c r="N7" i="2" s="1"/>
  <c r="L7" i="2"/>
  <c r="J7" i="2"/>
  <c r="I7" i="2"/>
  <c r="H7" i="2"/>
  <c r="Q6" i="2"/>
  <c r="P6" i="2"/>
  <c r="O6" i="2"/>
  <c r="M6" i="2"/>
  <c r="N6" i="2" s="1"/>
  <c r="J6" i="2"/>
  <c r="I6" i="2"/>
  <c r="H6" i="2"/>
  <c r="Q5" i="2"/>
  <c r="P5" i="2"/>
  <c r="O5" i="2"/>
  <c r="M5" i="2"/>
  <c r="N5" i="2" s="1"/>
  <c r="L5" i="2"/>
  <c r="J5" i="2"/>
  <c r="I5" i="2"/>
  <c r="H5" i="2"/>
  <c r="F6" i="3" l="1"/>
  <c r="E6" i="3"/>
  <c r="D6" i="3"/>
  <c r="G6" i="3" s="1"/>
  <c r="F5" i="3"/>
  <c r="E5" i="3"/>
  <c r="D5" i="3"/>
  <c r="G5" i="3" s="1"/>
  <c r="C9" i="3"/>
  <c r="F8" i="3"/>
  <c r="E8" i="3"/>
  <c r="D8" i="3"/>
  <c r="G8" i="3" s="1"/>
  <c r="L34" i="2"/>
  <c r="K34" i="2" s="1"/>
  <c r="R34" i="2" s="1"/>
  <c r="L33" i="2"/>
  <c r="K33" i="2" s="1"/>
  <c r="R33" i="2" s="1"/>
  <c r="L35" i="2"/>
  <c r="K35" i="2" s="1"/>
  <c r="R35" i="2" s="1"/>
  <c r="L44" i="2"/>
  <c r="K44" i="2" s="1"/>
  <c r="R44" i="2" s="1"/>
  <c r="F7" i="3"/>
  <c r="E7" i="3"/>
  <c r="D7" i="3"/>
  <c r="G7" i="3" s="1"/>
  <c r="L49" i="2"/>
  <c r="K49" i="2" s="1"/>
  <c r="R49" i="2" s="1"/>
  <c r="L48" i="2"/>
  <c r="K48" i="2" s="1"/>
  <c r="R48" i="2" s="1"/>
  <c r="L40" i="2"/>
  <c r="K40" i="2" s="1"/>
  <c r="R40" i="2" s="1"/>
  <c r="D15" i="3"/>
  <c r="L50" i="2"/>
  <c r="K50" i="2" s="1"/>
  <c r="R50" i="2" s="1"/>
  <c r="L43" i="2"/>
  <c r="K43" i="2" s="1"/>
  <c r="R43" i="2" s="1"/>
  <c r="L42" i="2"/>
  <c r="K42" i="2" s="1"/>
  <c r="R42" i="2" s="1"/>
  <c r="L38" i="2"/>
  <c r="K38" i="2" s="1"/>
  <c r="R38" i="2" s="1"/>
  <c r="L36" i="2"/>
  <c r="K36" i="2" s="1"/>
  <c r="R36" i="2" s="1"/>
  <c r="L41" i="2"/>
  <c r="K41" i="2" s="1"/>
  <c r="R41" i="2" s="1"/>
  <c r="L39" i="2"/>
  <c r="K39" i="2" s="1"/>
  <c r="R39" i="2" s="1"/>
  <c r="L37" i="2"/>
  <c r="K37" i="2" s="1"/>
  <c r="R37" i="2" s="1"/>
  <c r="D14" i="3"/>
  <c r="K7" i="2"/>
  <c r="R7" i="2" s="1"/>
  <c r="L23" i="2"/>
  <c r="K23" i="2" s="1"/>
  <c r="R23" i="2" s="1"/>
  <c r="L6" i="2"/>
  <c r="K6" i="2" s="1"/>
  <c r="R6" i="2" s="1"/>
  <c r="L19" i="2"/>
  <c r="K19" i="2" s="1"/>
  <c r="R19" i="2" s="1"/>
  <c r="L22" i="2"/>
  <c r="K22" i="2" s="1"/>
  <c r="R22" i="2" s="1"/>
  <c r="L24" i="2"/>
  <c r="K24" i="2" s="1"/>
  <c r="R24" i="2" s="1"/>
  <c r="L18" i="2"/>
  <c r="K18" i="2" s="1"/>
  <c r="R18" i="2" s="1"/>
  <c r="L21" i="2"/>
  <c r="K21" i="2" s="1"/>
  <c r="R21" i="2" s="1"/>
  <c r="K5" i="2"/>
  <c r="R5" i="2" s="1"/>
  <c r="L17" i="2"/>
  <c r="K17" i="2" s="1"/>
  <c r="R17" i="2" s="1"/>
  <c r="L26" i="2"/>
  <c r="K26" i="2" s="1"/>
  <c r="R26" i="2" s="1"/>
  <c r="L11" i="2"/>
  <c r="K11" i="2" s="1"/>
  <c r="R11" i="2" s="1"/>
  <c r="L16" i="2"/>
  <c r="K16" i="2" s="1"/>
  <c r="R16" i="2" s="1"/>
  <c r="L31" i="2"/>
  <c r="K31" i="2" s="1"/>
  <c r="R31" i="2" s="1"/>
  <c r="L28" i="2"/>
  <c r="K28" i="2" s="1"/>
  <c r="R28" i="2" s="1"/>
  <c r="L29" i="2"/>
  <c r="K29" i="2" s="1"/>
  <c r="R29" i="2" s="1"/>
  <c r="L25" i="2"/>
  <c r="K25" i="2" s="1"/>
  <c r="R25" i="2" s="1"/>
  <c r="L30" i="2"/>
  <c r="K30" i="2" s="1"/>
  <c r="R30" i="2" s="1"/>
  <c r="L45" i="2"/>
  <c r="K45" i="2" s="1"/>
  <c r="R45" i="2" s="1"/>
  <c r="L46" i="2"/>
  <c r="K46" i="2" s="1"/>
  <c r="R46" i="2" s="1"/>
  <c r="L47" i="2"/>
  <c r="K47" i="2" s="1"/>
  <c r="R47" i="2" s="1"/>
  <c r="D13" i="3"/>
  <c r="L20" i="2"/>
  <c r="K20" i="2" s="1"/>
  <c r="R20" i="2" s="1"/>
  <c r="D4" i="3"/>
  <c r="L10" i="2"/>
  <c r="K10" i="2" s="1"/>
  <c r="R10" i="2" s="1"/>
  <c r="L27" i="2"/>
  <c r="K27" i="2" s="1"/>
  <c r="R27" i="2" s="1"/>
  <c r="E4" i="3"/>
  <c r="F4" i="3"/>
  <c r="L8" i="2"/>
  <c r="K8" i="2" s="1"/>
  <c r="R8" i="2" s="1"/>
  <c r="E9" i="3" l="1"/>
  <c r="F9" i="3"/>
  <c r="H4" i="3"/>
  <c r="H5" i="3"/>
  <c r="H6" i="3"/>
  <c r="H7" i="3"/>
  <c r="H8" i="3"/>
  <c r="D9" i="3"/>
  <c r="G9" i="3" s="1"/>
  <c r="G4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Sera</author>
  </authors>
  <commentList>
    <comment ref="E4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WP ids separated by commas. 'Unfinished deps' counts those not yet Done.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F10BE4B-3D9C-4751-B4D9-9465214925D5}" keepAlive="1" interval="1" name="Connection" type="5" refreshedVersion="8" background="1" refreshOnLoad="1" saveData="1">
    <dbPr connection="Provider=Microsoft.Mashup.OleDb.1;Data Source=$Workbook$;Location=SeraStatusCsv;Extended Properties=&quot;&quot;" command="SELECT * FROM [SeraStatusCsv]"/>
  </connection>
  <connection id="2" xr16:uid="{7BA84108-A4C9-46D6-8CC6-F256E62D4203}" keepAlive="1" interval="1" name="Connection1" type="5" refreshedVersion="8" background="1" refreshOnLoad="1" saveData="1">
    <dbPr connection="Provider=Microsoft.Mashup.OleDb.1;Data Source=$Workbook$;Location=SeraChecksCsv;Extended Properties=&quot;&quot;" command="SELECT * FROM [SeraChecksCsv]"/>
  </connection>
</connections>
</file>

<file path=xl/sharedStrings.xml><?xml version="1.0" encoding="utf-8"?>
<sst xmlns="http://schemas.openxmlformats.org/spreadsheetml/2006/main" count="943" uniqueCount="403">
  <si>
    <t>How to use this workbook</t>
  </si>
  <si>
    <t>This workbook only displays status. Agents record progress in two small text files next to it</t>
  </si>
  <si>
    <t>(docs/sera-sync-v3-status.csv and docs/sera-sync-v3-checks.csv) using tools/sync_v3_tracker.py.</t>
  </si>
  <si>
    <t>You can keep this file open while agents work.</t>
  </si>
  <si>
    <t>To see the latest status: Data → Refresh All (Ctrl+Alt+F5). It also refreshes when opened and every minute.</t>
  </si>
  <si>
    <t>Don't type into the sheets: the next refresh overwrites it. To change a status, ask an agent or run the tool.</t>
  </si>
  <si>
    <t>When Excel asks to save on close, either answer is fine — the status lives in the CSV files, not here.</t>
  </si>
  <si>
    <t>What the agents record:</t>
  </si>
  <si>
    <t>• Implementing agent: Status = In progress + Model used when it starts; Status = In review + Notes when it finishes.</t>
  </si>
  <si>
    <t>• Reviewing agent (Fable 5.1 / Opus 5.5): Reviewed by.</t>
  </si>
  <si>
    <t>• Committing agent: Status = Done + Commit. The tool refuses Done without a commit, or without a required review.</t>
  </si>
  <si>
    <t>• The tool also refuses a model not allowed for the WP's tier, and starting a WP whose dependencies aren't Done.</t>
  </si>
  <si>
    <t>What you do:</t>
  </si>
  <si>
    <t>1. Pick a WP whose 'Ready?' is green (or Summary → Next ready WP).</t>
  </si>
  <si>
    <t>2. Start a fresh chat with a model allowed for its tier and paste the prompt from blueprint §8.1.</t>
  </si>
  <si>
    <t>3. After a phase: do the Phase Checks and record the results (tool command on that sheet, or ask an agent).</t>
  </si>
  <si>
    <t>Rebuild (only when the blueprint's §3 table changes; close this file first): venv\Scripts\python tools\build_sync_v3_tracker.py — progress in the CSVs is kept.</t>
  </si>
  <si>
    <t>If refresh ever shows an error about a missing file, the project folder moved: run the rebuild command.</t>
  </si>
  <si>
    <t>Sera Sync v3 — work packages</t>
  </si>
  <si>
    <t>Grey columns come from docs/sera-sync-v3-status.csv, which agents update with tools/sync_v3_tracker.py. Data → Refresh All (Ctrl+Alt+F5) to see the latest; it also refreshes on open and every minute. Don't type into this sheet: a refresh overwrites it.</t>
  </si>
  <si>
    <t>WP</t>
  </si>
  <si>
    <t>Phase</t>
  </si>
  <si>
    <t>What</t>
  </si>
  <si>
    <t>Tier</t>
  </si>
  <si>
    <t>Depends on</t>
  </si>
  <si>
    <t>Dependency note</t>
  </si>
  <si>
    <t>Review before merge</t>
  </si>
  <si>
    <t>Recommended Claude</t>
  </si>
  <si>
    <t>Gemini allowed</t>
  </si>
  <si>
    <t>Status</t>
  </si>
  <si>
    <t>Ready?</t>
  </si>
  <si>
    <t>Unfinished deps</t>
  </si>
  <si>
    <t>Model used</t>
  </si>
  <si>
    <t>Model allowed?</t>
  </si>
  <si>
    <t>Reviewed by</t>
  </si>
  <si>
    <t>Commit</t>
  </si>
  <si>
    <t>Notes</t>
  </si>
  <si>
    <t>helper</t>
  </si>
  <si>
    <t>P0-1</t>
  </si>
  <si>
    <t>Stop sending the whole DB after every edit</t>
  </si>
  <si>
    <t>T1</t>
  </si>
  <si>
    <t>No</t>
  </si>
  <si>
    <t>P0-2</t>
  </si>
  <si>
    <t>Fix get_sync_metrics (is_deleted → is_archived)</t>
  </si>
  <si>
    <t>Must merge P0-1 first (see blueprint P0-2)</t>
  </si>
  <si>
    <t>P0-3</t>
  </si>
  <si>
    <t>Sender makes a consistent snapshot (sqlcipher_export) and streams it</t>
  </si>
  <si>
    <t>T2</t>
  </si>
  <si>
    <t>Yes – Fable 5.1 / Opus 5.5</t>
  </si>
  <si>
    <t>P0-4</t>
  </si>
  <si>
    <t>Receiver stages the DB and swaps it at start-up, never while running</t>
  </si>
  <si>
    <t>P0-5</t>
  </si>
  <si>
    <t>Start-up checks that sera.key opens the DB; prompts otherwise</t>
  </si>
  <si>
    <t>P0-6</t>
  </si>
  <si>
    <t>First-run "New office / Join office" + legacy join with on-screen approval</t>
  </si>
  <si>
    <t>P0-3,P0-4,P0-5</t>
  </si>
  <si>
    <t>P0-7</t>
  </si>
  <si>
    <t>Authenticate legacy sync messages (HMAC)</t>
  </si>
  <si>
    <t>P0-8</t>
  </si>
  <si>
    <t>rawPayload.db auto-heal: visible alert + audit entry</t>
  </si>
  <si>
    <t>P0-9a</t>
  </si>
  <si>
    <t>Installer firewall rules (Private + Domain + Public, v1.4)</t>
  </si>
  <si>
    <t>P0-9b</t>
  </si>
  <si>
    <t>In-app warning when the network profile is Public</t>
  </si>
  <si>
    <t>P0-10</t>
  </si>
  <si>
    <t>Per-adapter broadcast, "Add PC by IP", peers keyed by host</t>
  </si>
  <si>
    <t>P0-11</t>
  </si>
  <si>
    <t>Docs: operations-sync.md update</t>
  </si>
  <si>
    <t>P0-1,P0-10</t>
  </si>
  <si>
    <t>P1-1</t>
  </si>
  <si>
    <t>sera_keys.py: DPAPI, office.json, key id, recovery blob</t>
  </si>
  <si>
    <t>T3</t>
  </si>
  <si>
    <t>P0-1,P0-2,P0-3,P0-4,P0-5,P0-6,P0-7,P0-8,P0-9a,P0-9b,P0-10,P0-11</t>
  </si>
  <si>
    <t>Phase 0 released to all PCs</t>
  </si>
  <si>
    <t>P1-2</t>
  </si>
  <si>
    <t>Start-up key resolution (office mode / legacy mode)</t>
  </si>
  <si>
    <t>P1-3</t>
  </si>
  <si>
    <t>Parsers load the key through sera_keys</t>
  </si>
  <si>
    <t>P1-4</t>
  </si>
  <si>
    <t>Migration "convert this PC to an office key"</t>
  </si>
  <si>
    <t>P1-5</t>
  </si>
  <si>
    <t>Key-fingerprint gate everywhere</t>
  </si>
  <si>
    <t>P1-6</t>
  </si>
  <si>
    <t>Recovery, recovery kit export, master-password change</t>
  </si>
  <si>
    <t>P2-1</t>
  </si>
  <si>
    <t>Device identity + certificates</t>
  </si>
  <si>
    <t>P2-2</t>
  </si>
  <si>
    <t>Office admin key, membership records, signatures</t>
  </si>
  <si>
    <t>P2-3</t>
  </si>
  <si>
    <t>Mutual-TLS transport + framing</t>
  </si>
  <si>
    <t>P2-4</t>
  </si>
  <si>
    <t>Pairing with 6-digit code (SPAKE2)</t>
  </si>
  <si>
    <t>P2-2,P2-3</t>
  </si>
  <si>
    <t>P2-5</t>
  </si>
  <si>
    <t>Discovery v3, address book, gossip</t>
  </si>
  <si>
    <t>P2-6</t>
  </si>
  <si>
    <t>Snapshot service + joiner install</t>
  </si>
  <si>
    <t>P2-3,P2-4</t>
  </si>
  <si>
    <t>P2-7</t>
  </si>
  <si>
    <t>UI: Join wizard, Add workstation, Members, Remove, Hand over admin</t>
  </si>
  <si>
    <t>P2-4,P2-6</t>
  </si>
  <si>
    <t>P2-8</t>
  </si>
  <si>
    <t>Rejoin + salvage import for existing diverged PCs</t>
  </si>
  <si>
    <t>P3-0</t>
  </si>
  <si>
    <t>Multi-node test harness + convergence tests (written first)</t>
  </si>
  <si>
    <t>P3-1</t>
  </si>
  <si>
    <t>Table / setting classification registry sync_schema.py</t>
  </si>
  <si>
    <t>P3-2</t>
  </si>
  <si>
    <t>gid columns, back-fill, deterministic seed gids, _sync_* tables</t>
  </si>
  <si>
    <t>P3-3</t>
  </si>
  <si>
    <t>Capture triggers + sealer + hybrid logical clock</t>
  </si>
  <si>
    <t>P3-4</t>
  </si>
  <si>
    <t>Apply engine (field LWW, tombstones, FK translation, parking, admin signatures)</t>
  </si>
  <si>
    <t>P3-5</t>
  </si>
  <si>
    <t>Sync session protocol, forwarding, poke, scheduler</t>
  </si>
  <si>
    <t>P3-4,P2-5</t>
  </si>
  <si>
    <t>P3-6</t>
  </si>
  <si>
    <t>Make start-up maintenance admin-only / id-independent (F12, F13)</t>
  </si>
  <si>
    <t>P3-7</t>
  </si>
  <si>
    <t>Shadow mode: capture check, replica convergence, digests</t>
  </si>
  <si>
    <t>P3-8</t>
  </si>
  <si>
    <t>UI refresh by table + Sera Sync panel status</t>
  </si>
  <si>
    <t>P3-7a</t>
  </si>
  <si>
    <t>Peer digest exchange for the shadow convergence check</t>
  </si>
  <si>
    <t>P3-7b</t>
  </si>
  <si>
    <t>Turn on shadow mode: panel action, common start point, re-enable guard</t>
  </si>
  <si>
    <t>P3-8a</t>
  </si>
  <si>
    <t>Shadow-week readiness: parked-change age, clock-ahead warning, seal timing</t>
  </si>
  <si>
    <t>P3-8b</t>
  </si>
  <si>
    <t>Panel defect fixes (Run-now gate, conflict selection, stamps, late emit)</t>
  </si>
  <si>
    <t>P3-9</t>
  </si>
  <si>
    <t>Go live (install converged replica, switch mode)</t>
  </si>
  <si>
    <t>P3-7a,P3-7b,P3-8a,P3-8b,P3-7</t>
  </si>
  <si>
    <t>Plus: P3-7 go-live criteria met (owner decides)</t>
  </si>
  <si>
    <t>Owner decision</t>
  </si>
  <si>
    <t>P4-1</t>
  </si>
  <si>
    <t>Remove legacy protocol, inv_frames, Rev Score, peer_logs</t>
  </si>
  <si>
    <t>Plus: go-live done on every PC</t>
  </si>
  <si>
    <t>P4-2</t>
  </si>
  <si>
    <t>Remove sera.key/sera.salt use (keep legacy importer for restores)</t>
  </si>
  <si>
    <t>P4-3a</t>
  </si>
  <si>
    <t>Scheduled local backups (daily, keep 14)</t>
  </si>
  <si>
    <t>P4-3b</t>
  </si>
  <si>
    <t>Restore a backup → becomes the state on every PC (D9)</t>
  </si>
  <si>
    <t>P4-3a,P3-9</t>
  </si>
  <si>
    <t>P4-4</t>
  </si>
  <si>
    <t>Change-log compaction</t>
  </si>
  <si>
    <t>P4-5</t>
  </si>
  <si>
    <t>Docs + test clean-up</t>
  </si>
  <si>
    <t>P4-1,P4-2,P4-3a,P4-3b,P4-4</t>
  </si>
  <si>
    <t>Progress summary</t>
  </si>
  <si>
    <t>Name</t>
  </si>
  <si>
    <t>WPs</t>
  </si>
  <si>
    <t>Done</t>
  </si>
  <si>
    <t>In progress / review</t>
  </si>
  <si>
    <t>Blocked</t>
  </si>
  <si>
    <t>% done</t>
  </si>
  <si>
    <t>Next ready WP</t>
  </si>
  <si>
    <t>Hotfix (2.x)</t>
  </si>
  <si>
    <t>Office key (3.0)</t>
  </si>
  <si>
    <t>Devices &amp; pairing (3.0)</t>
  </si>
  <si>
    <t>Change replication (3.1 shadow / 3.2 live)</t>
  </si>
  <si>
    <t>Cleanup (3.3)</t>
  </si>
  <si>
    <t>Total</t>
  </si>
  <si>
    <t>By tier</t>
  </si>
  <si>
    <t>Meaning</t>
  </si>
  <si>
    <t>Need review</t>
  </si>
  <si>
    <t>Mechanical</t>
  </si>
  <si>
    <t>Standard</t>
  </si>
  <si>
    <t>Expert</t>
  </si>
  <si>
    <t>Latest status update in the CSV:</t>
  </si>
  <si>
    <t>Hands-on checks before releasing each phase (blueprint §8.4)</t>
  </si>
  <si>
    <t>Record results with: venv\Scripts\python tools\sync_v3_tracker.py check &lt;#&gt; --result Pass (or ask an agent). Grey columns come from docs/sera-sync-v3-checks.csv.</t>
  </si>
  <si>
    <t>#</t>
  </si>
  <si>
    <t>Check</t>
  </si>
  <si>
    <t>Related WP</t>
  </si>
  <si>
    <t>Result</t>
  </si>
  <si>
    <t>Date</t>
  </si>
  <si>
    <t>Installer adds the firewall rule: netsh advfirewall firewall show rule name="Amas Sera Sync"</t>
  </si>
  <si>
    <t>Sera Sync panel warns when the PC's network is set to Public</t>
  </si>
  <si>
    <t>Spare PC: first run → Join office → approve on the other PC → enter office password → app opens</t>
  </si>
  <si>
    <t>Manual push from the dialog lands only after the receiving PC restarts, and the DB opens</t>
  </si>
  <si>
    <t>A Wi-Fi PC and a wired PC see each other after Add PC by IP</t>
  </si>
  <si>
    <t>Editing a client no longer triggers 'Live update synced' toasts on other PCs</t>
  </si>
  <si>
    <t>Admin PC: Convert to office key succeeds; app opens without a password prompt</t>
  </si>
  <si>
    <t>Recovery kit exported to USB and stored safely</t>
  </si>
  <si>
    <t>Log into a second Windows account on the admin PC → recovery dialog → master password unlocks</t>
  </si>
  <si>
    <t>DOM Parser and SDC Parser still run on the converted PC</t>
  </si>
  <si>
    <t>Add workstation → code → Join office on another PC works end to end</t>
  </si>
  <si>
    <t>P2-4, P2-6</t>
  </si>
  <si>
    <t>Wrong code 3 times closes the pairing window</t>
  </si>
  <si>
    <t>Removed PC can no longer sync (panel shows it as removed)</t>
  </si>
  <si>
    <t>Become admin with the master password on a second PC; the old admin PC shows it is no longer admin</t>
  </si>
  <si>
    <t>Every legacy PC: Rejoin → salvage dry run reviewed → import; salvage report saved</t>
  </si>
  <si>
    <t>Shadow mode on all PCs for 7 days; zero capture mismatches; replica digests converge</t>
  </si>
  <si>
    <t>Two people edit different fields of the same client on two PCs → both edits appear everywhere</t>
  </si>
  <si>
    <t>Set one PC's clock 2 hours ahead → panel shows the clock warning; set it back</t>
  </si>
  <si>
    <t>On a non-admin PC, enter admin mode and change a setting → it appears on every PC</t>
  </si>
  <si>
    <t>On a non-admin PC, try to edit the staff list → told to use the admin PC or Become admin</t>
  </si>
  <si>
    <t>Go-live restart on every PC; clients count matches on all PCs</t>
  </si>
  <si>
    <t>An old 2.x install can no longer push to the office</t>
  </si>
  <si>
    <t>A daily backup folder appears in backups/</t>
  </si>
  <si>
    <t>Restore dry run shows sensible counts (cancel at the RESTORE prompt unless you mean it)</t>
  </si>
  <si>
    <t>Model × tier matrix</t>
  </si>
  <si>
    <t>Yes = allowed. Caution = allowed only if a Fable 5.1 / Opus 5.5 session reviews the diff before merge. No = don't use for that tier. Gemini is never used for T3 (owner decision 2026-09-23).</t>
  </si>
  <si>
    <t>Model</t>
  </si>
  <si>
    <t>Provider</t>
  </si>
  <si>
    <t>Model ID</t>
  </si>
  <si>
    <t>Can review T3 work</t>
  </si>
  <si>
    <t>Claude Fable 5.1</t>
  </si>
  <si>
    <t>Anthropic</t>
  </si>
  <si>
    <t>claude-fable-5-1</t>
  </si>
  <si>
    <t>GA (Sep 2026)</t>
  </si>
  <si>
    <t>Yes</t>
  </si>
  <si>
    <t>Most capable Claude model. First choice for T3 work and all reviews.</t>
  </si>
  <si>
    <t>Claude Opus 5.5</t>
  </si>
  <si>
    <t>claude-opus-5-5</t>
  </si>
  <si>
    <t>GA</t>
  </si>
  <si>
    <t>T3-capable. Alternative to Fable for T3 work and reviews.</t>
  </si>
  <si>
    <t>Claude Sonnet 5</t>
  </si>
  <si>
    <t>claude-sonnet-5</t>
  </si>
  <si>
    <t>Default for T2.</t>
  </si>
  <si>
    <t>Claude Haiku 4.5</t>
  </si>
  <si>
    <t>claude-haiku-4-5-20251001</t>
  </si>
  <si>
    <t>Default for T1.</t>
  </si>
  <si>
    <t>Gemini 3.8 Flash</t>
  </si>
  <si>
    <t>Google</t>
  </si>
  <si>
    <t>gemini-3.8-flash</t>
  </si>
  <si>
    <t>Stable (GA 2026-09-02)</t>
  </si>
  <si>
    <t>Best Gemini choice for T2 (Google: long-horizon software engineering, agents).</t>
  </si>
  <si>
    <t>Gemini 3.1 Pro</t>
  </si>
  <si>
    <t>gemini-3.1-pro-preview</t>
  </si>
  <si>
    <t>Preview</t>
  </si>
  <si>
    <t>Strong reasoning; preview model, so behaviour can change between sessions.</t>
  </si>
  <si>
    <t>Gemini 3.7 Flash</t>
  </si>
  <si>
    <t>gemini-3.7-flash</t>
  </si>
  <si>
    <t>Stable</t>
  </si>
  <si>
    <t>Previous-generation Flash for complex coding; fine for T2.</t>
  </si>
  <si>
    <t>Gemini 3.6 Flash</t>
  </si>
  <si>
    <t>gemini-3.6-flash</t>
  </si>
  <si>
    <t>Caution</t>
  </si>
  <si>
    <t>T2 only with a Fable/Opus review of the diff.</t>
  </si>
  <si>
    <t>Gemini 3 Flash</t>
  </si>
  <si>
    <t>gemini-3-flash-preview</t>
  </si>
  <si>
    <t>Older preview; T2 only with a Fable/Opus review of the diff.</t>
  </si>
  <si>
    <t>Gemini 2.5 Pro</t>
  </si>
  <si>
    <t>gemini-2.5-pro</t>
  </si>
  <si>
    <t>Legacy (access-limited)</t>
  </si>
  <si>
    <t>Only if your account still has access; T2 only with review.</t>
  </si>
  <si>
    <t>Gemini 3.5 Flash</t>
  </si>
  <si>
    <t>gemini-3.5-flash</t>
  </si>
  <si>
    <t>Stable (legacy)</t>
  </si>
  <si>
    <t>Baseline model; T1 only.</t>
  </si>
  <si>
    <t>Gemini 3.5 Flash-Lite</t>
  </si>
  <si>
    <t>gemini-3.5-flash-lite</t>
  </si>
  <si>
    <t>Fast/cheap; T1 only.</t>
  </si>
  <si>
    <t>Gemini 3.1 Flash-Lite</t>
  </si>
  <si>
    <t>gemini-3.1-flash-lite</t>
  </si>
  <si>
    <t>Gemini 2.5 Flash</t>
  </si>
  <si>
    <t>gemini-2.5-flash</t>
  </si>
  <si>
    <t>T1 only.</t>
  </si>
  <si>
    <t>Gemini 2.5 Flash-Lite</t>
  </si>
  <si>
    <t>gemini-2.5-flash-lite</t>
  </si>
  <si>
    <t>Sources</t>
  </si>
  <si>
    <t>Gemini list: Google AI for Developers, 'Models | Gemini API', https://ai.google.dev/gemini-api/docs/models (fetched 2026-09-23). Claude list: Claude Code model list + Anthropic's Fable 5.1 announcement. Tier permissions are Claude's recommendation for this project, not vendor ratings.</t>
  </si>
  <si>
    <t>Tier defaults</t>
  </si>
  <si>
    <t>Any Gemini model on the Models sheet</t>
  </si>
  <si>
    <t>Gemini 3.8 Flash, 3.1 Pro, 3.7 Flash (3.6 Flash / 3 Flash / 2.5 Pro only with review)</t>
  </si>
  <si>
    <t>Claude Fable 5.1 or Opus 5.5</t>
  </si>
  <si>
    <t>Not allowed (owner decision)</t>
  </si>
  <si>
    <t>Updated</t>
  </si>
  <si>
    <t>df7a850</t>
  </si>
  <si>
    <t>2026-09-23: Re-reviewed fixes: applied timing bug fix, restored changelog</t>
  </si>
  <si>
    <t/>
  </si>
  <si>
    <t>6d5051f</t>
  </si>
  <si>
    <t>2026-09-23: Fixed get_sync_metrics is_archived check; 799 passed, 10 pre-existing failed</t>
  </si>
  <si>
    <t>6b38236</t>
  </si>
  <si>
    <t>2026-09-23: make_snapshot (FileExistsError guard) + 1MB stream + prune_outgoing_snapshots, 804 passed / 10 failed</t>
  </si>
  <si>
    <t>89c9aa3</t>
  </si>
  <si>
    <t>2026-09-24: Fixed rollback WAL/SHM restoration on failed DB replace; closed RESTART_PENDING concurrency gap; 18/18 hotfix, 10/10 sync passed</t>
  </si>
  <si>
    <t>487d6bf</t>
  </si>
  <si>
    <t>2026-09-24: Startup password check, 3-try prompt, failure modal, salt guard, 815 passed / 10 failed. Opus 5.5 review follow-ups done (damaged-DB wording, deviations logged). Don't release before P0-6.</t>
  </si>
  <si>
    <t>832b053</t>
  </si>
  <si>
    <t>2026-09-24: First-run New/Join office with on-screen modal approval, snapshot streaming, password verification, 7 new tests passed (837/10)</t>
  </si>
  <si>
    <t>89d7cfc</t>
  </si>
  <si>
    <t>2026-09-24: HMAC auth as before, plus a rollout-compatibility follow-up: rejection of a pre-P0-7 peer now carries an advisory hint (reason unchanged) and §6/§7 document the simultaneous-upgrade requirement.</t>
  </si>
  <si>
    <t>7250dd4</t>
  </si>
  <si>
    <t>2026-09-23: Added raw_db_was_reset tracking, audit log entry, and UI alert when auto-heal occurs. Test passes, no deviations from spec.</t>
  </si>
  <si>
    <t>faa61d6</t>
  </si>
  <si>
    <t>2026-09-24: Installer firewall rules added with pre-emptive delete on upgrade and RunOnceId; test_installer_firewall_rules passed</t>
  </si>
  <si>
    <t>214a7a9</t>
  </si>
  <si>
    <t>2026-09-24: Fixed reviewer bug #2 (PowerShell numeric NetworkCategory, verified live on Public hotspot); could not reproduce bug #1 (no enable_network_monitor flag exists in current tree); applied 4 hardening items. Full suite: 839 passed/10 failed (all pre-existing).</t>
  </si>
  <si>
    <t>66feefe</t>
  </si>
  <si>
    <t>2026-09-24: Review fixes: 10s beacon interval (anti-flap), port 1-65535 validation, per-peer exception isolation, listener guard, rate-limited replies</t>
  </si>
  <si>
    <t>60667de</t>
  </si>
  <si>
    <t>2026-09-24: docs/operations-sync.md updated for Phase 0, full test suite 859 passed / 10 pre-existing failed</t>
  </si>
  <si>
    <t>773eea7</t>
  </si>
  <si>
    <t>2026-09-24: New sera_keys.py (DPAPI ctypes, Argon2id+AES-GCM wrap, office.json, key id, store/load/recover DEK) + tests/test_sera_keys.py (24); full suite 883 passed / 10 pre-existing failures</t>
  </si>
  <si>
    <t>7808f87</t>
  </si>
  <si>
    <t>2026-09-24: Start-up key resolution (office mode DEK vs legacy PBKDF2), 889 passed / 10 pre-existing failed</t>
  </si>
  <si>
    <t>bb80c15</t>
  </si>
  <si>
    <t>2026-09-24: Parsers try sera_keys office DEK (data dir then code dir) before legacy sera.key/salt. Full suite 891 passed / 10 pre-existing failed.</t>
  </si>
  <si>
    <t>c6bcc11</t>
  </si>
  <si>
    <t>2026-09-24: Review round 2: live-DB check refuses missing/empty file; step-6 rollback crash resumes as rollback (phase rolling_back); 28 tests; suite 936 passed / 10 pre-existing failures</t>
  </si>
  <si>
    <t>2026-09-24 14:39</t>
  </si>
  <si>
    <t>1960b19</t>
  </si>
  <si>
    <t>2026-09-24: Review fixes: zero-salt framing, legacy fetch_snapshot gated, salt backup; 937 passed / 10 failed</t>
  </si>
  <si>
    <t>2026-09-24 14:46</t>
  </si>
  <si>
    <t>79149ab</t>
  </si>
  <si>
    <t>2026-09-24: Review blockers A and B resolved: settings backup page fixed, exact whitespace preserved with lenient fallback, full suite clean</t>
  </si>
  <si>
    <t>2026-09-24 16:49</t>
  </si>
  <si>
    <t>292da21</t>
  </si>
  <si>
    <t>2026-09-24: Review-fix round 2: fixed race where load_device_identity could rename another writer's in-progress key/passphrase files; load_device_identity now read-only, cleanup moved into ensure_device_identity under the lock. Also split lock acquire-timeout from stale-steal threshold. 986 passed / 10 pre-existing failed / 2 skipped.</t>
  </si>
  <si>
    <t>2026-09-24 17:07</t>
  </si>
  <si>
    <t>0820ee8</t>
  </si>
  <si>
    <t>2026-09-24: Review fixes: revoke is final + letter/cert immutable in store_record; readers always verify; claim_admin check inside tx, refuses caller tx; 63 tests; suite 1049 passed / 10 pre-existing failed / 2 skipped</t>
  </si>
  <si>
    <t>2026-09-24 17:54</t>
  </si>
  <si>
    <t>75e98e0</t>
  </si>
  <si>
    <t>2026-09-24: Review fixes: session slots only after member check + pending-handshake caps, recv(wait=), sink/RecursionError/empty-chunk fixes; 32 transport tests; full suite 1081 passed / 10 pre-existing failures</t>
  </si>
  <si>
    <t>2026-09-24 18:14</t>
  </si>
  <si>
    <t>d2627e2</t>
  </si>
  <si>
    <t>2026-09-24: Review fixes: no second join in the join/close gap (close before freeing slot; close ends any session), stall warning, _install order; 38 pairing tests pass; full suite 1143 passed / 10 pre-existing failures</t>
  </si>
  <si>
    <t>2026-09-24 18:59</t>
  </si>
  <si>
    <t>31dc65f</t>
  </si>
  <si>
    <t>2026-09-24: Review fixes &amp; refinements: listen=False mode, ephemeral unicast reply, sightings capping (500), open_db warning, gossip IP validation; 28 tests pass</t>
  </si>
  <si>
    <t>2026-09-24 19:16</t>
  </si>
  <si>
    <t>e15c420</t>
  </si>
  <si>
    <t>2026-09-24: Snapshot mTLS service, export, verification, atomic joiner install with backups (master.db last); 11 tests passed. Open items for P2-7/P2-8/P3-5 recorded in blueprint §9 P2-6 notes (P2-7 must start the snapshot server).</t>
  </si>
  <si>
    <t>2026-09-24 21:47</t>
  </si>
  <si>
    <t>d8af4c1</t>
  </si>
  <si>
    <t>2026-09-25: UI: Join wizard, Add workstation, Members, Remove, Hand over/Become admin. New sync_office.py (create_new_office, join_office, AddWorkstationSession) + sync_admin.hand_over_admin. Fixed main.py office_mode start-up gap and QTimer.singleShot cross-thread bug (Qt signals) across both first-run pages. 20 new tests (test_sync_office.py, test_sync_office_ui.py) + 5 hand_over_admin tests; full suite 1279 passed / 16 pre-existing+expected failed.</t>
  </si>
  <si>
    <t>2026-09-25 00:47</t>
  </si>
  <si>
    <t>35a9afd</t>
  </si>
  <si>
    <t>2026-09-24: New sync_rejoin.py + rejoin wizard/salvage dialog, main.py hook, Rejoin button, P2-6 sidecar abort; 35 new tests pass; full suite 1214 passed / 26 failed (10 pre-existing, 6 P3-0 expected, 10 from P2-7's unfinished dialog + its icon)</t>
  </si>
  <si>
    <t>2026-09-25 00:03</t>
  </si>
  <si>
    <t>be84d98</t>
  </si>
  <si>
    <t>2026-09-24: Review round 3 fixes: write() routes via SeraDatabase._connect for sealer hooks, dynamic time in (b), (d) conflict row on n0 only, (e) partitioned single batch &amp; vector freeze check, stringified FK translation in digest; 7 harness passed, 6 convergence failed as expected, 1185 passed in full suite</t>
  </si>
  <si>
    <t>2026-09-24 21:50</t>
  </si>
  <si>
    <t>882d054</t>
  </si>
  <si>
    <t>2026-09-24: Round 2: client_raw_containers reverted to local (whole-row lww would have caused certain data loss via re_resolve_all_tracker_dumps' DELETE+rebuild under P3-3/P3-4 tombstone rules). New pending_creation client_container_notes TableSpec added for staff notes, lww, table itself not yet built (flagged for P3-2). 22 new schema tests + 2 database tests pass; full suite at baseline.</t>
  </si>
  <si>
    <t>2026-09-24 21:37</t>
  </si>
  <si>
    <t>067828b</t>
  </si>
  <si>
    <t>2026-09-25: B1 fixed, all should-fix items addressed, fresh INI seeding harmonized; 104 passed / 0 failed</t>
  </si>
  <si>
    <t>2026-09-25 00:53</t>
  </si>
  <si>
    <t>f34baaa</t>
  </si>
  <si>
    <t>2026-09-25: Review fixes + owner option A: per-stream seq high-water mark in keys/sync_seq.json (raised after commit; unreadable file stops sealing); 86 tests pass; full suite 1366/16 (known)</t>
  </si>
  <si>
    <t>2026-09-25 02:12</t>
  </si>
  <si>
    <t>48c2335</t>
  </si>
  <si>
    <t>2026-09-25: New sync_apply.py apply engine (LWW, tombstones incl. newer re-create for natural keys, parking, admin sigs, natural-key + PAN merge sent as merge changes) + review fixes; 58 tests pass (2 fail only with uncommitted P3-6 resequence in tree); full suite 1421/16 known</t>
  </si>
  <si>
    <t>2026-09-25 15:22</t>
  </si>
  <si>
    <t>3fd8004</t>
  </si>
  <si>
    <t>2026-09-25: New sync_engine.py (HELLO/members/CHANGES+ACK/BYE, forwarding, poke, 20s scheduler) + harness wiring; P3-0 (a)-(f) pass; 29 new tests; full suite 1467 pass / 11 pre-existing fail</t>
  </si>
  <si>
    <t>2026-09-25 17:46</t>
  </si>
  <si>
    <t>27bfc64</t>
  </si>
  <si>
    <t>2026-09-25: Opus review fixes: gated apply resequence, hardened acceptance test; 295 sync tests pass, full suite 1432/17/3</t>
  </si>
  <si>
    <t>2026-09-25 16:16</t>
  </si>
  <si>
    <t>a897eb5</t>
  </si>
  <si>
    <t>2026-09-25: 2026-09-25: review-fix round 1 (Opus): capture_check now replays only own-origin changes (was replaying forwarded remote copies too, failing on any PC that had received anything); enable_shadow_mode refuses when already on (silent permanent data loss). 2 new regression tests; 17 sync_shadow tests pass; full suite 1536 passed / 11 pre-existing failed / 3 skipped</t>
  </si>
  <si>
    <t>2026-09-25 19:32</t>
  </si>
  <si>
    <t>2026-09-25: 2026-09-25: Review fixes (Opus 5.5): use_discarded_value no longer deletes conflicts on no-op (kept for the deleted-row shape sync_apply.py actually produces, resurrection not built); wired the shadow-check timer (30min) + panel 'Run now' button that run_shadow_checks docstring asked P3-8 for; needs_update banner + stalled-streams count from peer_status()/stalled_streams(); UI refresh gated to mode live; last_ok prefers peer_status(); timer cancelled on quit; 'None' shown as '(deleted)'. 68 P3-8 tests pass; full suite 1549/11/3 (11 pre-existing).</t>
  </si>
  <si>
    <t>c3f91c5</t>
  </si>
  <si>
    <t>2026-09-26: Review fixes applied (all 5 non-blocking findings from both Opus 5.5 review passes): 'vectors moved'-&gt;'vectors differ' wording; malformed digest_reply now logged as skipped instead of silently ignored; _last_local_change_at no longer stamped by a remote-driven merge (_wake_poke_sender split out); at most one digest_request answered per session (extras get busy); fixed test spy that sat on the wrong side. tests/test_sync_digest_exchange.py now 10 tests, all pass. Full suite: 1604 passed / 11 failed / 3 skipped -- the standard pre-existing set only, zero new failures.</t>
  </si>
  <si>
    <t>2026-09-26 09:33</t>
  </si>
  <si>
    <t>c522654</t>
  </si>
  <si>
    <t>2026-09-26: Review fixes: own changes carried over at swap (no seq gap after Reset-&gt;Start), admin Reset refused after receiving, journaled swap with crash recovery, raw required, admin identity checked; 7 new tests; full suite 1611 passed / 11 pre-existing failed / 3 skipped</t>
  </si>
  <si>
    <t>2026-09-26 10:02</t>
  </si>
  <si>
    <t>1943770</t>
  </si>
  <si>
    <t>2026-09-26: Coalesced clock-ahead events &amp; rate-limited log, replica parked-change age &amp; warnings, shadow-only seal timing logger; 85 passed in sync suite</t>
  </si>
  <si>
    <t>2026-09-26 15:27</t>
  </si>
  <si>
    <t>1943770 (dialog fixes + 3 tests); ff87571 (remaining tests + review fixes)</t>
  </si>
  <si>
    <t>2026-09-26: Run-now gated to mode shadow, conflict selection by (db,id), stamps unified, late-emit guard; 1616 passed/11 failed(pre-existing)/3 skipped
2026-09-26: 2026-09-26: reviewed by Claude Opus 5.5, no blocking findings; 4 non-blocking findings fixed (selection-clear gap, weak sort test, timing-flaky test, UTC-vs-local flagged for owner)
2026-09-26: 2026-09-26: full suite after review fixes: 1617 passed/11 failed(pre-existing)/3 skipped</t>
  </si>
  <si>
    <t>2026-09-26 15:28</t>
  </si>
  <si>
    <t>Not started</t>
  </si>
  <si>
    <t>8f4d9c1</t>
  </si>
  <si>
    <t>2026-09-25 18:13</t>
  </si>
  <si>
    <t>1</t>
  </si>
  <si>
    <t>Pass</t>
  </si>
  <si>
    <t>2026-09-26</t>
  </si>
  <si>
    <t>Reported by owner 2026-09-26</t>
  </si>
  <si>
    <t>2</t>
  </si>
  <si>
    <t>3</t>
  </si>
  <si>
    <t>Not run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</si>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</sst>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name val="Arial"/>
    </font>
    <font>
      <i/>
      <sz val="9"/>
      <color rgb="FF555555"/>
      <name val="Arial"/>
    </font>
    <font>
      <b/>
      <sz val="10"/>
      <color rgb="FFFFFFFF"/>
      <name val="Arial"/>
    </font>
    <font>
      <b/>
      <sz val="10"/>
      <name val="Arial"/>
    </font>
    <font>
      <sz val="10"/>
      <name val="Arial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2F4F6F"/>
      </patternFill>
    </fill>
    <fill>
      <patternFill patternType="solid">
        <fgColor rgb="FFEDEDED"/>
      </patternFill>
    </fill>
    <fill>
      <patternFill patternType="solid">
        <fgColor rgb="FFE2EFDA"/>
      </patternFill>
    </fill>
    <fill>
      <patternFill patternType="solid">
        <fgColor rgb="FFDDEBF7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5" fillId="6" borderId="1" xfId="0" applyFont="1" applyFill="1" applyBorder="1" applyAlignment="1">
      <alignment vertical="top" wrapText="1"/>
    </xf>
    <xf numFmtId="9" fontId="5" fillId="0" borderId="1" xfId="0" applyNumberFormat="1" applyFont="1" applyBorder="1" applyAlignment="1">
      <alignment vertical="top" wrapText="1"/>
    </xf>
    <xf numFmtId="0" fontId="4" fillId="0" borderId="0" xfId="0" applyFont="1"/>
    <xf numFmtId="9" fontId="4" fillId="0" borderId="1" xfId="0" applyNumberFormat="1" applyFont="1" applyBorder="1" applyAlignment="1">
      <alignment vertical="top" wrapText="1"/>
    </xf>
    <xf numFmtId="0" fontId="3" fillId="2" borderId="1" xfId="0" applyFont="1" applyFill="1" applyBorder="1"/>
    <xf numFmtId="0" fontId="0" fillId="0" borderId="0" xfId="0" applyNumberFormat="1"/>
  </cellXfs>
  <cellStyles count="1">
    <cellStyle name="Normal" xfId="0" builtinId="0"/>
  </cellStyles>
  <dxfs count="1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D9D9D9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1" xr16:uid="{9F7EBFF7-2D77-4493-80B4-0086746169F6}" autoFormatId="0" applyNumberFormats="0" applyBorderFormats="0" applyFontFormats="1" applyPatternFormats="1" applyAlignmentFormats="0" applyWidthHeightFormats="0">
  <queryTableRefresh nextId="8">
    <queryTableFields count="7">
      <queryTableField id="1" name="WP" tableColumnId="8"/>
      <queryTableField id="2" name="Status" tableColumnId="9"/>
      <queryTableField id="3" name="Model used" tableColumnId="10"/>
      <queryTableField id="4" name="Reviewed by" tableColumnId="11"/>
      <queryTableField id="5" name="Commit" tableColumnId="12"/>
      <queryTableField id="6" name="Notes" tableColumnId="13"/>
      <queryTableField id="7" name="Updated" tableColumnId="1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2" xr16:uid="{B411001C-F363-44F3-AE67-8436C2D304B3}" autoFormatId="0" applyNumberFormats="0" applyBorderFormats="0" applyFontFormats="1" applyPatternFormats="1" applyAlignmentFormats="0" applyWidthHeightFormats="0">
  <queryTableRefresh nextId="5">
    <queryTableFields count="4">
      <queryTableField id="1" name="Check" tableColumnId="5"/>
      <queryTableField id="2" name="Result" tableColumnId="6"/>
      <queryTableField id="3" name="Date" tableColumnId="7"/>
      <queryTableField id="4" name="Notes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2DD1E8-1F4C-460A-B962-09A3C90BC8EC}" name="SeraStatusCsv" displayName="SeraStatusCsv" ref="A1:G47" tableType="queryTable" insertRowShift="1" totalsRowShown="0">
  <autoFilter ref="A1:G47" xr:uid="{C02DD1E8-1F4C-460A-B962-09A3C90BC8EC}"/>
  <tableColumns count="7">
    <tableColumn id="8" xr3:uid="{19137D23-A3E5-4B99-97DB-D72B87F69B27}" uniqueName="8" name="WP" queryTableFieldId="1" dataDxfId="18"/>
    <tableColumn id="9" xr3:uid="{119CE105-61E7-426F-9760-5FFEDDAEB758}" uniqueName="9" name="Status" queryTableFieldId="2" dataDxfId="17"/>
    <tableColumn id="10" xr3:uid="{934D8014-7476-4B37-92BB-1DB028198623}" uniqueName="10" name="Model used" queryTableFieldId="3" dataDxfId="16"/>
    <tableColumn id="11" xr3:uid="{1412567A-4058-4B25-AC0B-2B669DBFF1A9}" uniqueName="11" name="Reviewed by" queryTableFieldId="4" dataDxfId="15"/>
    <tableColumn id="12" xr3:uid="{41AD1BED-DF99-4D03-85B7-CCC50F8BA523}" uniqueName="12" name="Commit" queryTableFieldId="5" dataDxfId="14"/>
    <tableColumn id="13" xr3:uid="{0F02A4E1-A3D1-4D2B-9A2A-05F8DB11C966}" uniqueName="13" name="Notes" queryTableFieldId="6" dataDxfId="13"/>
    <tableColumn id="14" xr3:uid="{28FF3479-F280-4793-840D-984CECBE2104}" uniqueName="14" name="Updated" queryTableFieldId="7" dataDxfId="1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8C8D4CB-2010-425A-9CD8-EFDD7E153DD1}" name="SeraChecksCsv" displayName="SeraChecksCsv" ref="A1:D25" tableType="queryTable" insertRowShift="1" totalsRowShown="0">
  <autoFilter ref="A1:D25" xr:uid="{08C8D4CB-2010-425A-9CD8-EFDD7E153DD1}"/>
  <tableColumns count="4">
    <tableColumn id="5" xr3:uid="{C6635AA8-7B46-4ABA-B6D3-824838CDD5DC}" uniqueName="5" name="Check" queryTableFieldId="1" dataDxfId="3"/>
    <tableColumn id="6" xr3:uid="{4CC178C0-9A3A-4A0E-ACC7-4776634B9A52}" uniqueName="6" name="Result" queryTableFieldId="2" dataDxfId="2"/>
    <tableColumn id="7" xr3:uid="{7E662C7D-8EF4-492C-831A-94AC12DCE864}" uniqueName="7" name="Date" queryTableFieldId="3" dataDxfId="1"/>
    <tableColumn id="8" xr3:uid="{A9969145-D007-4CE4-99A6-4F3CE51FDAD0}" uniqueName="8" name="Notes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3"/>
  <sheetViews>
    <sheetView tabSelected="1" workbookViewId="0"/>
  </sheetViews>
  <sheetFormatPr defaultRowHeight="15" x14ac:dyDescent="0.25"/>
  <cols>
    <col min="1" max="1" width="110" customWidth="1"/>
  </cols>
  <sheetData>
    <row r="1" spans="1:1" ht="18" x14ac:dyDescent="0.25">
      <c r="A1" s="1" t="s">
        <v>0</v>
      </c>
    </row>
    <row r="2" spans="1:1" x14ac:dyDescent="0.25">
      <c r="A2" s="2"/>
    </row>
    <row r="3" spans="1:1" x14ac:dyDescent="0.25">
      <c r="A3" s="3" t="s">
        <v>1</v>
      </c>
    </row>
    <row r="4" spans="1:1" x14ac:dyDescent="0.25">
      <c r="A4" s="3" t="s">
        <v>2</v>
      </c>
    </row>
    <row r="5" spans="1:1" x14ac:dyDescent="0.25">
      <c r="A5" s="3" t="s">
        <v>3</v>
      </c>
    </row>
    <row r="6" spans="1:1" x14ac:dyDescent="0.25">
      <c r="A6" s="2"/>
    </row>
    <row r="7" spans="1:1" x14ac:dyDescent="0.25">
      <c r="A7" s="2" t="s">
        <v>4</v>
      </c>
    </row>
    <row r="8" spans="1:1" x14ac:dyDescent="0.25">
      <c r="A8" s="2" t="s">
        <v>5</v>
      </c>
    </row>
    <row r="9" spans="1:1" x14ac:dyDescent="0.25">
      <c r="A9" s="2" t="s">
        <v>6</v>
      </c>
    </row>
    <row r="10" spans="1:1" x14ac:dyDescent="0.25">
      <c r="A10" s="2"/>
    </row>
    <row r="11" spans="1:1" x14ac:dyDescent="0.25">
      <c r="A11" s="3" t="s">
        <v>7</v>
      </c>
    </row>
    <row r="12" spans="1:1" x14ac:dyDescent="0.25">
      <c r="A12" s="2" t="s">
        <v>8</v>
      </c>
    </row>
    <row r="13" spans="1:1" x14ac:dyDescent="0.25">
      <c r="A13" s="2" t="s">
        <v>9</v>
      </c>
    </row>
    <row r="14" spans="1:1" x14ac:dyDescent="0.25">
      <c r="A14" s="2" t="s">
        <v>10</v>
      </c>
    </row>
    <row r="15" spans="1:1" x14ac:dyDescent="0.25">
      <c r="A15" s="2" t="s">
        <v>11</v>
      </c>
    </row>
    <row r="16" spans="1:1" x14ac:dyDescent="0.25">
      <c r="A16" s="2"/>
    </row>
    <row r="17" spans="1:1" x14ac:dyDescent="0.25">
      <c r="A17" s="3" t="s">
        <v>12</v>
      </c>
    </row>
    <row r="18" spans="1:1" x14ac:dyDescent="0.25">
      <c r="A18" s="2" t="s">
        <v>13</v>
      </c>
    </row>
    <row r="19" spans="1:1" x14ac:dyDescent="0.25">
      <c r="A19" s="2" t="s">
        <v>14</v>
      </c>
    </row>
    <row r="20" spans="1:1" x14ac:dyDescent="0.25">
      <c r="A20" s="2" t="s">
        <v>15</v>
      </c>
    </row>
    <row r="21" spans="1:1" x14ac:dyDescent="0.25">
      <c r="A21" s="2"/>
    </row>
    <row r="22" spans="1:1" ht="24" x14ac:dyDescent="0.25">
      <c r="A22" s="4" t="s">
        <v>16</v>
      </c>
    </row>
    <row r="23" spans="1:1" x14ac:dyDescent="0.25">
      <c r="A23" s="4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50"/>
  <sheetViews>
    <sheetView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8" customWidth="1"/>
    <col min="2" max="2" width="7" customWidth="1"/>
    <col min="3" max="3" width="46" customWidth="1"/>
    <col min="4" max="4" width="6" customWidth="1"/>
    <col min="5" max="5" width="22" customWidth="1"/>
    <col min="6" max="6" width="26" customWidth="1"/>
    <col min="7" max="8" width="22" customWidth="1"/>
    <col min="9" max="9" width="30" customWidth="1"/>
    <col min="10" max="10" width="13" customWidth="1"/>
    <col min="11" max="11" width="14" customWidth="1"/>
    <col min="12" max="12" width="10" customWidth="1"/>
    <col min="13" max="13" width="22" customWidth="1"/>
    <col min="14" max="14" width="16" customWidth="1"/>
    <col min="15" max="15" width="18" customWidth="1"/>
    <col min="16" max="16" width="12" customWidth="1"/>
    <col min="17" max="17" width="40" customWidth="1"/>
    <col min="18" max="18" width="6" hidden="1" customWidth="1"/>
  </cols>
  <sheetData>
    <row r="1" spans="1:18" ht="18" x14ac:dyDescent="0.25">
      <c r="A1" s="5" t="s">
        <v>18</v>
      </c>
    </row>
    <row r="2" spans="1:18" x14ac:dyDescent="0.25">
      <c r="A2" s="6" t="s">
        <v>19</v>
      </c>
    </row>
    <row r="4" spans="1:18" ht="25.5" x14ac:dyDescent="0.25">
      <c r="A4" s="7" t="s">
        <v>20</v>
      </c>
      <c r="B4" s="7" t="s">
        <v>21</v>
      </c>
      <c r="C4" s="7" t="s">
        <v>22</v>
      </c>
      <c r="D4" s="7" t="s">
        <v>23</v>
      </c>
      <c r="E4" s="7" t="s">
        <v>24</v>
      </c>
      <c r="F4" s="7" t="s">
        <v>25</v>
      </c>
      <c r="G4" s="7" t="s">
        <v>26</v>
      </c>
      <c r="H4" s="7" t="s">
        <v>27</v>
      </c>
      <c r="I4" s="7" t="s">
        <v>28</v>
      </c>
      <c r="J4" s="7" t="s">
        <v>29</v>
      </c>
      <c r="K4" s="7" t="s">
        <v>30</v>
      </c>
      <c r="L4" s="7" t="s">
        <v>31</v>
      </c>
      <c r="M4" s="7" t="s">
        <v>32</v>
      </c>
      <c r="N4" s="7" t="s">
        <v>33</v>
      </c>
      <c r="O4" s="7" t="s">
        <v>34</v>
      </c>
      <c r="P4" s="7" t="s">
        <v>35</v>
      </c>
      <c r="Q4" s="7" t="s">
        <v>36</v>
      </c>
      <c r="R4" s="7" t="s">
        <v>37</v>
      </c>
    </row>
    <row r="5" spans="1:18" x14ac:dyDescent="0.25">
      <c r="A5" s="8" t="s">
        <v>38</v>
      </c>
      <c r="B5" s="9">
        <v>0</v>
      </c>
      <c r="C5" s="9" t="s">
        <v>39</v>
      </c>
      <c r="D5" s="10" t="s">
        <v>40</v>
      </c>
      <c r="E5" s="9"/>
      <c r="F5" s="9"/>
      <c r="G5" s="9" t="s">
        <v>41</v>
      </c>
      <c r="H5" s="9" t="str">
        <f>INDEX(Models!$C$26:$C$28,MATCH(D5,Models!$A$26:$A$28,0))</f>
        <v>Claude Haiku 4.5</v>
      </c>
      <c r="I5" s="9" t="str">
        <f>INDEX(Models!$D$26:$D$28,MATCH(D5,Models!$A$26:$A$28,0))</f>
        <v>Any Gemini model on the Models sheet</v>
      </c>
      <c r="J5" s="11" t="str">
        <f>IFERROR(IF(INDEX(StatusData!$B:$B,MATCH($A5,StatusData!$A:$A,0))="","Not started",""&amp;INDEX(StatusData!$B:$B,MATCH($A5,StatusData!$A:$A,0))),"Not started")</f>
        <v>Done</v>
      </c>
      <c r="K5" s="9" t="str">
        <f t="shared" ref="K5:K50" si="0">IF(J5="Done","Done",IF(L5&gt;0,"Waiting on "&amp;L5,IF(J5="Not started","Ready",J5)))</f>
        <v>Done</v>
      </c>
      <c r="L5" s="9">
        <f t="shared" ref="L5:L50" si="1">IF(E5="",0,SUMPRODUCT(ISNUMBER(SEARCH(","&amp;$A$5:$A$50&amp;",",","&amp;SUBSTITUTE(E5," ","")&amp;","))*($J$5:$J$50&lt;&gt;"Done")))</f>
        <v>0</v>
      </c>
      <c r="M5" s="11" t="str">
        <f>IFERROR(""&amp;INDEX(StatusData!$C:$C,MATCH($A5,StatusData!$A:$A,0)),"")</f>
        <v>Gemini 3.1 Pro</v>
      </c>
      <c r="N5" s="9" t="str">
        <f>IF(M5="","",IFERROR(IF(INDEX(Models!$E$5:$G$19,MATCH(M5,Models!$A$5:$A$19,0),VALUE(RIGHT(D5,1)))="Yes","OK",IF(INDEX(Models!$E$5:$G$19,MATCH(M5,Models!$A$5:$A$19,0),VALUE(RIGHT(D5,1)))="Caution","Needs T3 review","NOT ALLOWED")),"Unknown model"))</f>
        <v>OK</v>
      </c>
      <c r="O5" s="11" t="str">
        <f>IFERROR(""&amp;INDEX(StatusData!$D:$D,MATCH($A5,StatusData!$A:$A,0)),"")</f>
        <v>Claude Opus 5.5</v>
      </c>
      <c r="P5" s="11" t="str">
        <f>IFERROR(""&amp;INDEX(StatusData!$E:$E,MATCH($A5,StatusData!$A:$A,0)),"")</f>
        <v>df7a850</v>
      </c>
      <c r="Q5" s="11" t="str">
        <f>IFERROR(""&amp;INDEX(StatusData!$F:$F,MATCH($A5,StatusData!$A:$A,0)),"")</f>
        <v>2026-09-23: Re-reviewed fixes: applied timing bug fix, restored changelog</v>
      </c>
      <c r="R5" s="9" t="str">
        <f t="shared" ref="R5:R50" si="2">IF(K5="Ready",B5,"")</f>
        <v/>
      </c>
    </row>
    <row r="6" spans="1:18" ht="25.5" x14ac:dyDescent="0.25">
      <c r="A6" s="8" t="s">
        <v>42</v>
      </c>
      <c r="B6" s="9">
        <v>0</v>
      </c>
      <c r="C6" s="9" t="s">
        <v>43</v>
      </c>
      <c r="D6" s="10" t="s">
        <v>40</v>
      </c>
      <c r="E6" s="9" t="s">
        <v>38</v>
      </c>
      <c r="F6" s="9" t="s">
        <v>44</v>
      </c>
      <c r="G6" s="9" t="s">
        <v>41</v>
      </c>
      <c r="H6" s="9" t="str">
        <f>INDEX(Models!$C$26:$C$28,MATCH(D6,Models!$A$26:$A$28,0))</f>
        <v>Claude Haiku 4.5</v>
      </c>
      <c r="I6" s="9" t="str">
        <f>INDEX(Models!$D$26:$D$28,MATCH(D6,Models!$A$26:$A$28,0))</f>
        <v>Any Gemini model on the Models sheet</v>
      </c>
      <c r="J6" s="11" t="str">
        <f>IFERROR(IF(INDEX(StatusData!$B:$B,MATCH($A6,StatusData!$A:$A,0))="","Not started",""&amp;INDEX(StatusData!$B:$B,MATCH($A6,StatusData!$A:$A,0))),"Not started")</f>
        <v>Done</v>
      </c>
      <c r="K6" s="9" t="str">
        <f t="shared" si="0"/>
        <v>Done</v>
      </c>
      <c r="L6" s="9">
        <f t="shared" si="1"/>
        <v>0</v>
      </c>
      <c r="M6" s="11" t="str">
        <f>IFERROR(""&amp;INDEX(StatusData!$C:$C,MATCH($A6,StatusData!$A:$A,0)),"")</f>
        <v>Gemini 3.8 Flash</v>
      </c>
      <c r="N6" s="9" t="str">
        <f>IF(M6="","",IFERROR(IF(INDEX(Models!$E$5:$G$19,MATCH(M6,Models!$A$5:$A$19,0),VALUE(RIGHT(D6,1)))="Yes","OK",IF(INDEX(Models!$E$5:$G$19,MATCH(M6,Models!$A$5:$A$19,0),VALUE(RIGHT(D6,1)))="Caution","Needs T3 review","NOT ALLOWED")),"Unknown model"))</f>
        <v>OK</v>
      </c>
      <c r="O6" s="11" t="str">
        <f>IFERROR(""&amp;INDEX(StatusData!$D:$D,MATCH($A6,StatusData!$A:$A,0)),"")</f>
        <v>Claude Opus 5.5</v>
      </c>
      <c r="P6" s="11" t="str">
        <f>IFERROR(""&amp;INDEX(StatusData!$E:$E,MATCH($A6,StatusData!$A:$A,0)),"")</f>
        <v>6d5051f</v>
      </c>
      <c r="Q6" s="11" t="str">
        <f>IFERROR(""&amp;INDEX(StatusData!$F:$F,MATCH($A6,StatusData!$A:$A,0)),"")</f>
        <v>2026-09-23: Fixed get_sync_metrics is_archived check; 799 passed, 10 pre-existing failed</v>
      </c>
      <c r="R6" s="9" t="str">
        <f t="shared" si="2"/>
        <v/>
      </c>
    </row>
    <row r="7" spans="1:18" ht="25.5" x14ac:dyDescent="0.25">
      <c r="A7" s="8" t="s">
        <v>45</v>
      </c>
      <c r="B7" s="9">
        <v>0</v>
      </c>
      <c r="C7" s="9" t="s">
        <v>46</v>
      </c>
      <c r="D7" s="12" t="s">
        <v>47</v>
      </c>
      <c r="E7" s="9"/>
      <c r="F7" s="9"/>
      <c r="G7" s="9" t="s">
        <v>48</v>
      </c>
      <c r="H7" s="9" t="str">
        <f>INDEX(Models!$C$26:$C$28,MATCH(D7,Models!$A$26:$A$28,0))</f>
        <v>Claude Sonnet 5</v>
      </c>
      <c r="I7" s="9" t="str">
        <f>INDEX(Models!$D$26:$D$28,MATCH(D7,Models!$A$26:$A$28,0))</f>
        <v>Gemini 3.8 Flash, 3.1 Pro, 3.7 Flash (3.6 Flash / 3 Flash / 2.5 Pro only with review)</v>
      </c>
      <c r="J7" s="11" t="str">
        <f>IFERROR(IF(INDEX(StatusData!$B:$B,MATCH($A7,StatusData!$A:$A,0))="","Not started",""&amp;INDEX(StatusData!$B:$B,MATCH($A7,StatusData!$A:$A,0))),"Not started")</f>
        <v>Done</v>
      </c>
      <c r="K7" s="9" t="str">
        <f t="shared" si="0"/>
        <v>Done</v>
      </c>
      <c r="L7" s="9">
        <f t="shared" si="1"/>
        <v>0</v>
      </c>
      <c r="M7" s="11" t="str">
        <f>IFERROR(""&amp;INDEX(StatusData!$C:$C,MATCH($A7,StatusData!$A:$A,0)),"")</f>
        <v>Gemini 3.8 Flash</v>
      </c>
      <c r="N7" s="9" t="str">
        <f>IF(M7="","",IFERROR(IF(INDEX(Models!$E$5:$G$19,MATCH(M7,Models!$A$5:$A$19,0),VALUE(RIGHT(D7,1)))="Yes","OK",IF(INDEX(Models!$E$5:$G$19,MATCH(M7,Models!$A$5:$A$19,0),VALUE(RIGHT(D7,1)))="Caution","Needs T3 review","NOT ALLOWED")),"Unknown model"))</f>
        <v>OK</v>
      </c>
      <c r="O7" s="11" t="str">
        <f>IFERROR(""&amp;INDEX(StatusData!$D:$D,MATCH($A7,StatusData!$A:$A,0)),"")</f>
        <v>Claude Opus 5.5</v>
      </c>
      <c r="P7" s="11" t="str">
        <f>IFERROR(""&amp;INDEX(StatusData!$E:$E,MATCH($A7,StatusData!$A:$A,0)),"")</f>
        <v>6b38236</v>
      </c>
      <c r="Q7" s="11" t="str">
        <f>IFERROR(""&amp;INDEX(StatusData!$F:$F,MATCH($A7,StatusData!$A:$A,0)),"")</f>
        <v>2026-09-23: make_snapshot (FileExistsError guard) + 1MB stream + prune_outgoing_snapshots, 804 passed / 10 failed</v>
      </c>
      <c r="R7" s="9" t="str">
        <f t="shared" si="2"/>
        <v/>
      </c>
    </row>
    <row r="8" spans="1:18" ht="25.5" x14ac:dyDescent="0.25">
      <c r="A8" s="8" t="s">
        <v>49</v>
      </c>
      <c r="B8" s="9">
        <v>0</v>
      </c>
      <c r="C8" s="9" t="s">
        <v>50</v>
      </c>
      <c r="D8" s="12" t="s">
        <v>47</v>
      </c>
      <c r="E8" s="9" t="s">
        <v>45</v>
      </c>
      <c r="F8" s="9"/>
      <c r="G8" s="9" t="s">
        <v>48</v>
      </c>
      <c r="H8" s="9" t="str">
        <f>INDEX(Models!$C$26:$C$28,MATCH(D8,Models!$A$26:$A$28,0))</f>
        <v>Claude Sonnet 5</v>
      </c>
      <c r="I8" s="9" t="str">
        <f>INDEX(Models!$D$26:$D$28,MATCH(D8,Models!$A$26:$A$28,0))</f>
        <v>Gemini 3.8 Flash, 3.1 Pro, 3.7 Flash (3.6 Flash / 3 Flash / 2.5 Pro only with review)</v>
      </c>
      <c r="J8" s="11" t="str">
        <f>IFERROR(IF(INDEX(StatusData!$B:$B,MATCH($A8,StatusData!$A:$A,0))="","Not started",""&amp;INDEX(StatusData!$B:$B,MATCH($A8,StatusData!$A:$A,0))),"Not started")</f>
        <v>Done</v>
      </c>
      <c r="K8" s="9" t="str">
        <f t="shared" si="0"/>
        <v>Done</v>
      </c>
      <c r="L8" s="9">
        <f t="shared" si="1"/>
        <v>0</v>
      </c>
      <c r="M8" s="11" t="str">
        <f>IFERROR(""&amp;INDEX(StatusData!$C:$C,MATCH($A8,StatusData!$A:$A,0)),"")</f>
        <v>Gemini 3.8 Flash</v>
      </c>
      <c r="N8" s="9" t="str">
        <f>IF(M8="","",IFERROR(IF(INDEX(Models!$E$5:$G$19,MATCH(M8,Models!$A$5:$A$19,0),VALUE(RIGHT(D8,1)))="Yes","OK",IF(INDEX(Models!$E$5:$G$19,MATCH(M8,Models!$A$5:$A$19,0),VALUE(RIGHT(D8,1)))="Caution","Needs T3 review","NOT ALLOWED")),"Unknown model"))</f>
        <v>OK</v>
      </c>
      <c r="O8" s="11" t="str">
        <f>IFERROR(""&amp;INDEX(StatusData!$D:$D,MATCH($A8,StatusData!$A:$A,0)),"")</f>
        <v>Claude Opus 5.5</v>
      </c>
      <c r="P8" s="11" t="str">
        <f>IFERROR(""&amp;INDEX(StatusData!$E:$E,MATCH($A8,StatusData!$A:$A,0)),"")</f>
        <v>89c9aa3</v>
      </c>
      <c r="Q8" s="11" t="str">
        <f>IFERROR(""&amp;INDEX(StatusData!$F:$F,MATCH($A8,StatusData!$A:$A,0)),"")</f>
        <v>2026-09-24: Fixed rollback WAL/SHM restoration on failed DB replace; closed RESTART_PENDING concurrency gap; 18/18 hotfix, 10/10 sync passed</v>
      </c>
      <c r="R8" s="9" t="str">
        <f t="shared" si="2"/>
        <v/>
      </c>
    </row>
    <row r="9" spans="1:18" ht="25.5" x14ac:dyDescent="0.25">
      <c r="A9" s="8" t="s">
        <v>51</v>
      </c>
      <c r="B9" s="9">
        <v>0</v>
      </c>
      <c r="C9" s="9" t="s">
        <v>52</v>
      </c>
      <c r="D9" s="12" t="s">
        <v>47</v>
      </c>
      <c r="E9" s="9"/>
      <c r="F9" s="9"/>
      <c r="G9" s="9" t="s">
        <v>41</v>
      </c>
      <c r="H9" s="9" t="str">
        <f>INDEX(Models!$C$26:$C$28,MATCH(D9,Models!$A$26:$A$28,0))</f>
        <v>Claude Sonnet 5</v>
      </c>
      <c r="I9" s="9" t="str">
        <f>INDEX(Models!$D$26:$D$28,MATCH(D9,Models!$A$26:$A$28,0))</f>
        <v>Gemini 3.8 Flash, 3.1 Pro, 3.7 Flash (3.6 Flash / 3 Flash / 2.5 Pro only with review)</v>
      </c>
      <c r="J9" s="11" t="str">
        <f>IFERROR(IF(INDEX(StatusData!$B:$B,MATCH($A9,StatusData!$A:$A,0))="","Not started",""&amp;INDEX(StatusData!$B:$B,MATCH($A9,StatusData!$A:$A,0))),"Not started")</f>
        <v>Done</v>
      </c>
      <c r="K9" s="9" t="str">
        <f t="shared" si="0"/>
        <v>Done</v>
      </c>
      <c r="L9" s="9">
        <f t="shared" si="1"/>
        <v>0</v>
      </c>
      <c r="M9" s="11" t="str">
        <f>IFERROR(""&amp;INDEX(StatusData!$C:$C,MATCH($A9,StatusData!$A:$A,0)),"")</f>
        <v>Gemini 3.8 Flash</v>
      </c>
      <c r="N9" s="9" t="str">
        <f>IF(M9="","",IFERROR(IF(INDEX(Models!$E$5:$G$19,MATCH(M9,Models!$A$5:$A$19,0),VALUE(RIGHT(D9,1)))="Yes","OK",IF(INDEX(Models!$E$5:$G$19,MATCH(M9,Models!$A$5:$A$19,0),VALUE(RIGHT(D9,1)))="Caution","Needs T3 review","NOT ALLOWED")),"Unknown model"))</f>
        <v>OK</v>
      </c>
      <c r="O9" s="11" t="str">
        <f>IFERROR(""&amp;INDEX(StatusData!$D:$D,MATCH($A9,StatusData!$A:$A,0)),"")</f>
        <v>Claude Opus 5.5</v>
      </c>
      <c r="P9" s="11" t="str">
        <f>IFERROR(""&amp;INDEX(StatusData!$E:$E,MATCH($A9,StatusData!$A:$A,0)),"")</f>
        <v>487d6bf</v>
      </c>
      <c r="Q9" s="11" t="str">
        <f>IFERROR(""&amp;INDEX(StatusData!$F:$F,MATCH($A9,StatusData!$A:$A,0)),"")</f>
        <v>2026-09-24: Startup password check, 3-try prompt, failure modal, salt guard, 815 passed / 10 failed. Opus 5.5 review follow-ups done (damaged-DB wording, deviations logged). Don't release before P0-6.</v>
      </c>
      <c r="R9" s="9" t="str">
        <f t="shared" si="2"/>
        <v/>
      </c>
    </row>
    <row r="10" spans="1:18" ht="25.5" x14ac:dyDescent="0.25">
      <c r="A10" s="8" t="s">
        <v>53</v>
      </c>
      <c r="B10" s="9">
        <v>0</v>
      </c>
      <c r="C10" s="9" t="s">
        <v>54</v>
      </c>
      <c r="D10" s="12" t="s">
        <v>47</v>
      </c>
      <c r="E10" s="9" t="s">
        <v>55</v>
      </c>
      <c r="F10" s="9"/>
      <c r="G10" s="9" t="s">
        <v>48</v>
      </c>
      <c r="H10" s="9" t="str">
        <f>INDEX(Models!$C$26:$C$28,MATCH(D10,Models!$A$26:$A$28,0))</f>
        <v>Claude Sonnet 5</v>
      </c>
      <c r="I10" s="9" t="str">
        <f>INDEX(Models!$D$26:$D$28,MATCH(D10,Models!$A$26:$A$28,0))</f>
        <v>Gemini 3.8 Flash, 3.1 Pro, 3.7 Flash (3.6 Flash / 3 Flash / 2.5 Pro only with review)</v>
      </c>
      <c r="J10" s="11" t="str">
        <f>IFERROR(IF(INDEX(StatusData!$B:$B,MATCH($A10,StatusData!$A:$A,0))="","Not started",""&amp;INDEX(StatusData!$B:$B,MATCH($A10,StatusData!$A:$A,0))),"Not started")</f>
        <v>Done</v>
      </c>
      <c r="K10" s="9" t="str">
        <f t="shared" si="0"/>
        <v>Done</v>
      </c>
      <c r="L10" s="9">
        <f t="shared" si="1"/>
        <v>0</v>
      </c>
      <c r="M10" s="11" t="str">
        <f>IFERROR(""&amp;INDEX(StatusData!$C:$C,MATCH($A10,StatusData!$A:$A,0)),"")</f>
        <v>Gemini 3.8 Flash</v>
      </c>
      <c r="N10" s="9" t="str">
        <f>IF(M10="","",IFERROR(IF(INDEX(Models!$E$5:$G$19,MATCH(M10,Models!$A$5:$A$19,0),VALUE(RIGHT(D10,1)))="Yes","OK",IF(INDEX(Models!$E$5:$G$19,MATCH(M10,Models!$A$5:$A$19,0),VALUE(RIGHT(D10,1)))="Caution","Needs T3 review","NOT ALLOWED")),"Unknown model"))</f>
        <v>OK</v>
      </c>
      <c r="O10" s="11" t="str">
        <f>IFERROR(""&amp;INDEX(StatusData!$D:$D,MATCH($A10,StatusData!$A:$A,0)),"")</f>
        <v>Claude Opus 5.5</v>
      </c>
      <c r="P10" s="11" t="str">
        <f>IFERROR(""&amp;INDEX(StatusData!$E:$E,MATCH($A10,StatusData!$A:$A,0)),"")</f>
        <v>832b053</v>
      </c>
      <c r="Q10" s="11" t="str">
        <f>IFERROR(""&amp;INDEX(StatusData!$F:$F,MATCH($A10,StatusData!$A:$A,0)),"")</f>
        <v>2026-09-24: First-run New/Join office with on-screen modal approval, snapshot streaming, password verification, 7 new tests passed (837/10)</v>
      </c>
      <c r="R10" s="9" t="str">
        <f t="shared" si="2"/>
        <v/>
      </c>
    </row>
    <row r="11" spans="1:18" ht="25.5" x14ac:dyDescent="0.25">
      <c r="A11" s="8" t="s">
        <v>56</v>
      </c>
      <c r="B11" s="9">
        <v>0</v>
      </c>
      <c r="C11" s="9" t="s">
        <v>57</v>
      </c>
      <c r="D11" s="12" t="s">
        <v>47</v>
      </c>
      <c r="E11" s="9" t="s">
        <v>53</v>
      </c>
      <c r="F11" s="9"/>
      <c r="G11" s="9" t="s">
        <v>48</v>
      </c>
      <c r="H11" s="9" t="str">
        <f>INDEX(Models!$C$26:$C$28,MATCH(D11,Models!$A$26:$A$28,0))</f>
        <v>Claude Sonnet 5</v>
      </c>
      <c r="I11" s="9" t="str">
        <f>INDEX(Models!$D$26:$D$28,MATCH(D11,Models!$A$26:$A$28,0))</f>
        <v>Gemini 3.8 Flash, 3.1 Pro, 3.7 Flash (3.6 Flash / 3 Flash / 2.5 Pro only with review)</v>
      </c>
      <c r="J11" s="11" t="str">
        <f>IFERROR(IF(INDEX(StatusData!$B:$B,MATCH($A11,StatusData!$A:$A,0))="","Not started",""&amp;INDEX(StatusData!$B:$B,MATCH($A11,StatusData!$A:$A,0))),"Not started")</f>
        <v>Done</v>
      </c>
      <c r="K11" s="9" t="str">
        <f t="shared" si="0"/>
        <v>Done</v>
      </c>
      <c r="L11" s="9">
        <f t="shared" si="1"/>
        <v>0</v>
      </c>
      <c r="M11" s="11" t="str">
        <f>IFERROR(""&amp;INDEX(StatusData!$C:$C,MATCH($A11,StatusData!$A:$A,0)),"")</f>
        <v>Claude Sonnet 5</v>
      </c>
      <c r="N11" s="9" t="str">
        <f>IF(M11="","",IFERROR(IF(INDEX(Models!$E$5:$G$19,MATCH(M11,Models!$A$5:$A$19,0),VALUE(RIGHT(D11,1)))="Yes","OK",IF(INDEX(Models!$E$5:$G$19,MATCH(M11,Models!$A$5:$A$19,0),VALUE(RIGHT(D11,1)))="Caution","Needs T3 review","NOT ALLOWED")),"Unknown model"))</f>
        <v>OK</v>
      </c>
      <c r="O11" s="11" t="str">
        <f>IFERROR(""&amp;INDEX(StatusData!$D:$D,MATCH($A11,StatusData!$A:$A,0)),"")</f>
        <v>Claude Opus 5.5</v>
      </c>
      <c r="P11" s="11" t="str">
        <f>IFERROR(""&amp;INDEX(StatusData!$E:$E,MATCH($A11,StatusData!$A:$A,0)),"")</f>
        <v>89d7cfc</v>
      </c>
      <c r="Q11" s="11" t="str">
        <f>IFERROR(""&amp;INDEX(StatusData!$F:$F,MATCH($A11,StatusData!$A:$A,0)),"")</f>
        <v>2026-09-24: HMAC auth as before, plus a rollout-compatibility follow-up: rejection of a pre-P0-7 peer now carries an advisory hint (reason unchanged) and §6/§7 document the simultaneous-upgrade requirement.</v>
      </c>
      <c r="R11" s="9" t="str">
        <f t="shared" si="2"/>
        <v/>
      </c>
    </row>
    <row r="12" spans="1:18" x14ac:dyDescent="0.25">
      <c r="A12" s="8" t="s">
        <v>58</v>
      </c>
      <c r="B12" s="9">
        <v>0</v>
      </c>
      <c r="C12" s="9" t="s">
        <v>59</v>
      </c>
      <c r="D12" s="10" t="s">
        <v>40</v>
      </c>
      <c r="E12" s="9"/>
      <c r="F12" s="9"/>
      <c r="G12" s="9" t="s">
        <v>41</v>
      </c>
      <c r="H12" s="9" t="str">
        <f>INDEX(Models!$C$26:$C$28,MATCH(D12,Models!$A$26:$A$28,0))</f>
        <v>Claude Haiku 4.5</v>
      </c>
      <c r="I12" s="9" t="str">
        <f>INDEX(Models!$D$26:$D$28,MATCH(D12,Models!$A$26:$A$28,0))</f>
        <v>Any Gemini model on the Models sheet</v>
      </c>
      <c r="J12" s="11" t="str">
        <f>IFERROR(IF(INDEX(StatusData!$B:$B,MATCH($A12,StatusData!$A:$A,0))="","Not started",""&amp;INDEX(StatusData!$B:$B,MATCH($A12,StatusData!$A:$A,0))),"Not started")</f>
        <v>Done</v>
      </c>
      <c r="K12" s="9" t="str">
        <f t="shared" si="0"/>
        <v>Done</v>
      </c>
      <c r="L12" s="9">
        <f t="shared" si="1"/>
        <v>0</v>
      </c>
      <c r="M12" s="11" t="str">
        <f>IFERROR(""&amp;INDEX(StatusData!$C:$C,MATCH($A12,StatusData!$A:$A,0)),"")</f>
        <v>Claude Haiku 4.5</v>
      </c>
      <c r="N12" s="9" t="str">
        <f>IF(M12="","",IFERROR(IF(INDEX(Models!$E$5:$G$19,MATCH(M12,Models!$A$5:$A$19,0),VALUE(RIGHT(D12,1)))="Yes","OK",IF(INDEX(Models!$E$5:$G$19,MATCH(M12,Models!$A$5:$A$19,0),VALUE(RIGHT(D12,1)))="Caution","Needs T3 review","NOT ALLOWED")),"Unknown model"))</f>
        <v>OK</v>
      </c>
      <c r="O12" s="11" t="str">
        <f>IFERROR(""&amp;INDEX(StatusData!$D:$D,MATCH($A12,StatusData!$A:$A,0)),"")</f>
        <v>Claude Opus 5.5</v>
      </c>
      <c r="P12" s="11" t="str">
        <f>IFERROR(""&amp;INDEX(StatusData!$E:$E,MATCH($A12,StatusData!$A:$A,0)),"")</f>
        <v>7250dd4</v>
      </c>
      <c r="Q12" s="11" t="str">
        <f>IFERROR(""&amp;INDEX(StatusData!$F:$F,MATCH($A12,StatusData!$A:$A,0)),"")</f>
        <v>2026-09-23: Added raw_db_was_reset tracking, audit log entry, and UI alert when auto-heal occurs. Test passes, no deviations from spec.</v>
      </c>
      <c r="R12" s="9" t="str">
        <f t="shared" si="2"/>
        <v/>
      </c>
    </row>
    <row r="13" spans="1:18" ht="25.5" x14ac:dyDescent="0.25">
      <c r="A13" s="8" t="s">
        <v>60</v>
      </c>
      <c r="B13" s="9">
        <v>0</v>
      </c>
      <c r="C13" s="9" t="s">
        <v>61</v>
      </c>
      <c r="D13" s="10" t="s">
        <v>40</v>
      </c>
      <c r="E13" s="9"/>
      <c r="F13" s="9"/>
      <c r="G13" s="9" t="s">
        <v>41</v>
      </c>
      <c r="H13" s="9" t="str">
        <f>INDEX(Models!$C$26:$C$28,MATCH(D13,Models!$A$26:$A$28,0))</f>
        <v>Claude Haiku 4.5</v>
      </c>
      <c r="I13" s="9" t="str">
        <f>INDEX(Models!$D$26:$D$28,MATCH(D13,Models!$A$26:$A$28,0))</f>
        <v>Any Gemini model on the Models sheet</v>
      </c>
      <c r="J13" s="11" t="str">
        <f>IFERROR(IF(INDEX(StatusData!$B:$B,MATCH($A13,StatusData!$A:$A,0))="","Not started",""&amp;INDEX(StatusData!$B:$B,MATCH($A13,StatusData!$A:$A,0))),"Not started")</f>
        <v>Done</v>
      </c>
      <c r="K13" s="9" t="str">
        <f t="shared" si="0"/>
        <v>Done</v>
      </c>
      <c r="L13" s="9">
        <f t="shared" si="1"/>
        <v>0</v>
      </c>
      <c r="M13" s="11" t="str">
        <f>IFERROR(""&amp;INDEX(StatusData!$C:$C,MATCH($A13,StatusData!$A:$A,0)),"")</f>
        <v>Gemini 3.8 Flash</v>
      </c>
      <c r="N13" s="9" t="str">
        <f>IF(M13="","",IFERROR(IF(INDEX(Models!$E$5:$G$19,MATCH(M13,Models!$A$5:$A$19,0),VALUE(RIGHT(D13,1)))="Yes","OK",IF(INDEX(Models!$E$5:$G$19,MATCH(M13,Models!$A$5:$A$19,0),VALUE(RIGHT(D13,1)))="Caution","Needs T3 review","NOT ALLOWED")),"Unknown model"))</f>
        <v>OK</v>
      </c>
      <c r="O13" s="11" t="str">
        <f>IFERROR(""&amp;INDEX(StatusData!$D:$D,MATCH($A13,StatusData!$A:$A,0)),"")</f>
        <v>Claude Opus 5.5</v>
      </c>
      <c r="P13" s="11" t="str">
        <f>IFERROR(""&amp;INDEX(StatusData!$E:$E,MATCH($A13,StatusData!$A:$A,0)),"")</f>
        <v>faa61d6</v>
      </c>
      <c r="Q13" s="11" t="str">
        <f>IFERROR(""&amp;INDEX(StatusData!$F:$F,MATCH($A13,StatusData!$A:$A,0)),"")</f>
        <v>2026-09-24: Installer firewall rules added with pre-emptive delete on upgrade and RunOnceId; test_installer_firewall_rules passed</v>
      </c>
      <c r="R13" s="9" t="str">
        <f t="shared" si="2"/>
        <v/>
      </c>
    </row>
    <row r="14" spans="1:18" x14ac:dyDescent="0.25">
      <c r="A14" s="8" t="s">
        <v>62</v>
      </c>
      <c r="B14" s="9">
        <v>0</v>
      </c>
      <c r="C14" s="9" t="s">
        <v>63</v>
      </c>
      <c r="D14" s="12" t="s">
        <v>47</v>
      </c>
      <c r="E14" s="9"/>
      <c r="F14" s="9"/>
      <c r="G14" s="9" t="s">
        <v>41</v>
      </c>
      <c r="H14" s="9" t="str">
        <f>INDEX(Models!$C$26:$C$28,MATCH(D14,Models!$A$26:$A$28,0))</f>
        <v>Claude Sonnet 5</v>
      </c>
      <c r="I14" s="9" t="str">
        <f>INDEX(Models!$D$26:$D$28,MATCH(D14,Models!$A$26:$A$28,0))</f>
        <v>Gemini 3.8 Flash, 3.1 Pro, 3.7 Flash (3.6 Flash / 3 Flash / 2.5 Pro only with review)</v>
      </c>
      <c r="J14" s="11" t="str">
        <f>IFERROR(IF(INDEX(StatusData!$B:$B,MATCH($A14,StatusData!$A:$A,0))="","Not started",""&amp;INDEX(StatusData!$B:$B,MATCH($A14,StatusData!$A:$A,0))),"Not started")</f>
        <v>Done</v>
      </c>
      <c r="K14" s="9" t="str">
        <f t="shared" si="0"/>
        <v>Done</v>
      </c>
      <c r="L14" s="9">
        <f t="shared" si="1"/>
        <v>0</v>
      </c>
      <c r="M14" s="11" t="str">
        <f>IFERROR(""&amp;INDEX(StatusData!$C:$C,MATCH($A14,StatusData!$A:$A,0)),"")</f>
        <v>Claude Sonnet 5</v>
      </c>
      <c r="N14" s="9" t="str">
        <f>IF(M14="","",IFERROR(IF(INDEX(Models!$E$5:$G$19,MATCH(M14,Models!$A$5:$A$19,0),VALUE(RIGHT(D14,1)))="Yes","OK",IF(INDEX(Models!$E$5:$G$19,MATCH(M14,Models!$A$5:$A$19,0),VALUE(RIGHT(D14,1)))="Caution","Needs T3 review","NOT ALLOWED")),"Unknown model"))</f>
        <v>OK</v>
      </c>
      <c r="O14" s="11" t="str">
        <f>IFERROR(""&amp;INDEX(StatusData!$D:$D,MATCH($A14,StatusData!$A:$A,0)),"")</f>
        <v>Claude Opus 5.5</v>
      </c>
      <c r="P14" s="11" t="str">
        <f>IFERROR(""&amp;INDEX(StatusData!$E:$E,MATCH($A14,StatusData!$A:$A,0)),"")</f>
        <v>214a7a9</v>
      </c>
      <c r="Q14" s="11" t="str">
        <f>IFERROR(""&amp;INDEX(StatusData!$F:$F,MATCH($A14,StatusData!$A:$A,0)),"")</f>
        <v>2026-09-24: Fixed reviewer bug #2 (PowerShell numeric NetworkCategory, verified live on Public hotspot); could not reproduce bug #1 (no enable_network_monitor flag exists in current tree); applied 4 hardening items. Full suite: 839 passed/10 failed (all pre-existing).</v>
      </c>
      <c r="R14" s="9" t="str">
        <f t="shared" si="2"/>
        <v/>
      </c>
    </row>
    <row r="15" spans="1:18" ht="25.5" x14ac:dyDescent="0.25">
      <c r="A15" s="8" t="s">
        <v>64</v>
      </c>
      <c r="B15" s="9">
        <v>0</v>
      </c>
      <c r="C15" s="9" t="s">
        <v>65</v>
      </c>
      <c r="D15" s="12" t="s">
        <v>47</v>
      </c>
      <c r="E15" s="9"/>
      <c r="F15" s="9"/>
      <c r="G15" s="9" t="s">
        <v>41</v>
      </c>
      <c r="H15" s="9" t="str">
        <f>INDEX(Models!$C$26:$C$28,MATCH(D15,Models!$A$26:$A$28,0))</f>
        <v>Claude Sonnet 5</v>
      </c>
      <c r="I15" s="9" t="str">
        <f>INDEX(Models!$D$26:$D$28,MATCH(D15,Models!$A$26:$A$28,0))</f>
        <v>Gemini 3.8 Flash, 3.1 Pro, 3.7 Flash (3.6 Flash / 3 Flash / 2.5 Pro only with review)</v>
      </c>
      <c r="J15" s="11" t="str">
        <f>IFERROR(IF(INDEX(StatusData!$B:$B,MATCH($A15,StatusData!$A:$A,0))="","Not started",""&amp;INDEX(StatusData!$B:$B,MATCH($A15,StatusData!$A:$A,0))),"Not started")</f>
        <v>Done</v>
      </c>
      <c r="K15" s="9" t="str">
        <f t="shared" si="0"/>
        <v>Done</v>
      </c>
      <c r="L15" s="9">
        <f t="shared" si="1"/>
        <v>0</v>
      </c>
      <c r="M15" s="11" t="str">
        <f>IFERROR(""&amp;INDEX(StatusData!$C:$C,MATCH($A15,StatusData!$A:$A,0)),"")</f>
        <v>Gemini 3.8 Flash</v>
      </c>
      <c r="N15" s="9" t="str">
        <f>IF(M15="","",IFERROR(IF(INDEX(Models!$E$5:$G$19,MATCH(M15,Models!$A$5:$A$19,0),VALUE(RIGHT(D15,1)))="Yes","OK",IF(INDEX(Models!$E$5:$G$19,MATCH(M15,Models!$A$5:$A$19,0),VALUE(RIGHT(D15,1)))="Caution","Needs T3 review","NOT ALLOWED")),"Unknown model"))</f>
        <v>OK</v>
      </c>
      <c r="O15" s="11" t="str">
        <f>IFERROR(""&amp;INDEX(StatusData!$D:$D,MATCH($A15,StatusData!$A:$A,0)),"")</f>
        <v>Claude Opus 5.5</v>
      </c>
      <c r="P15" s="11" t="str">
        <f>IFERROR(""&amp;INDEX(StatusData!$E:$E,MATCH($A15,StatusData!$A:$A,0)),"")</f>
        <v>66feefe</v>
      </c>
      <c r="Q15" s="11" t="str">
        <f>IFERROR(""&amp;INDEX(StatusData!$F:$F,MATCH($A15,StatusData!$A:$A,0)),"")</f>
        <v>2026-09-24: Review fixes: 10s beacon interval (anti-flap), port 1-65535 validation, per-peer exception isolation, listener guard, rate-limited replies</v>
      </c>
      <c r="R15" s="9" t="str">
        <f t="shared" si="2"/>
        <v/>
      </c>
    </row>
    <row r="16" spans="1:18" x14ac:dyDescent="0.25">
      <c r="A16" s="8" t="s">
        <v>66</v>
      </c>
      <c r="B16" s="9">
        <v>0</v>
      </c>
      <c r="C16" s="9" t="s">
        <v>67</v>
      </c>
      <c r="D16" s="10" t="s">
        <v>40</v>
      </c>
      <c r="E16" s="9" t="s">
        <v>68</v>
      </c>
      <c r="F16" s="9"/>
      <c r="G16" s="9" t="s">
        <v>41</v>
      </c>
      <c r="H16" s="9" t="str">
        <f>INDEX(Models!$C$26:$C$28,MATCH(D16,Models!$A$26:$A$28,0))</f>
        <v>Claude Haiku 4.5</v>
      </c>
      <c r="I16" s="9" t="str">
        <f>INDEX(Models!$D$26:$D$28,MATCH(D16,Models!$A$26:$A$28,0))</f>
        <v>Any Gemini model on the Models sheet</v>
      </c>
      <c r="J16" s="11" t="str">
        <f>IFERROR(IF(INDEX(StatusData!$B:$B,MATCH($A16,StatusData!$A:$A,0))="","Not started",""&amp;INDEX(StatusData!$B:$B,MATCH($A16,StatusData!$A:$A,0))),"Not started")</f>
        <v>Done</v>
      </c>
      <c r="K16" s="9" t="str">
        <f t="shared" si="0"/>
        <v>Done</v>
      </c>
      <c r="L16" s="9">
        <f t="shared" si="1"/>
        <v>0</v>
      </c>
      <c r="M16" s="11" t="str">
        <f>IFERROR(""&amp;INDEX(StatusData!$C:$C,MATCH($A16,StatusData!$A:$A,0)),"")</f>
        <v>Gemini 3.7 Flash</v>
      </c>
      <c r="N16" s="9" t="str">
        <f>IF(M16="","",IFERROR(IF(INDEX(Models!$E$5:$G$19,MATCH(M16,Models!$A$5:$A$19,0),VALUE(RIGHT(D16,1)))="Yes","OK",IF(INDEX(Models!$E$5:$G$19,MATCH(M16,Models!$A$5:$A$19,0),VALUE(RIGHT(D16,1)))="Caution","Needs T3 review","NOT ALLOWED")),"Unknown model"))</f>
        <v>OK</v>
      </c>
      <c r="O16" s="11" t="str">
        <f>IFERROR(""&amp;INDEX(StatusData!$D:$D,MATCH($A16,StatusData!$A:$A,0)),"")</f>
        <v/>
      </c>
      <c r="P16" s="11" t="str">
        <f>IFERROR(""&amp;INDEX(StatusData!$E:$E,MATCH($A16,StatusData!$A:$A,0)),"")</f>
        <v>60667de</v>
      </c>
      <c r="Q16" s="11" t="str">
        <f>IFERROR(""&amp;INDEX(StatusData!$F:$F,MATCH($A16,StatusData!$A:$A,0)),"")</f>
        <v>2026-09-24: docs/operations-sync.md updated for Phase 0, full test suite 859 passed / 10 pre-existing failed</v>
      </c>
      <c r="R16" s="9" t="str">
        <f t="shared" si="2"/>
        <v/>
      </c>
    </row>
    <row r="17" spans="1:18" ht="38.25" x14ac:dyDescent="0.25">
      <c r="A17" s="8" t="s">
        <v>69</v>
      </c>
      <c r="B17" s="9">
        <v>1</v>
      </c>
      <c r="C17" s="9" t="s">
        <v>70</v>
      </c>
      <c r="D17" s="13" t="s">
        <v>71</v>
      </c>
      <c r="E17" s="9" t="s">
        <v>72</v>
      </c>
      <c r="F17" s="9" t="s">
        <v>73</v>
      </c>
      <c r="G17" s="9" t="s">
        <v>48</v>
      </c>
      <c r="H17" s="9" t="str">
        <f>INDEX(Models!$C$26:$C$28,MATCH(D17,Models!$A$26:$A$28,0))</f>
        <v>Claude Fable 5.1 or Opus 5.5</v>
      </c>
      <c r="I17" s="9" t="str">
        <f>INDEX(Models!$D$26:$D$28,MATCH(D17,Models!$A$26:$A$28,0))</f>
        <v>Not allowed (owner decision)</v>
      </c>
      <c r="J17" s="11" t="str">
        <f>IFERROR(IF(INDEX(StatusData!$B:$B,MATCH($A17,StatusData!$A:$A,0))="","Not started",""&amp;INDEX(StatusData!$B:$B,MATCH($A17,StatusData!$A:$A,0))),"Not started")</f>
        <v>Done</v>
      </c>
      <c r="K17" s="9" t="str">
        <f t="shared" si="0"/>
        <v>Done</v>
      </c>
      <c r="L17" s="9">
        <f t="shared" si="1"/>
        <v>0</v>
      </c>
      <c r="M17" s="11" t="str">
        <f>IFERROR(""&amp;INDEX(StatusData!$C:$C,MATCH($A17,StatusData!$A:$A,0)),"")</f>
        <v>Claude Opus 5.5</v>
      </c>
      <c r="N17" s="9" t="str">
        <f>IF(M17="","",IFERROR(IF(INDEX(Models!$E$5:$G$19,MATCH(M17,Models!$A$5:$A$19,0),VALUE(RIGHT(D17,1)))="Yes","OK",IF(INDEX(Models!$E$5:$G$19,MATCH(M17,Models!$A$5:$A$19,0),VALUE(RIGHT(D17,1)))="Caution","Needs T3 review","NOT ALLOWED")),"Unknown model"))</f>
        <v>OK</v>
      </c>
      <c r="O17" s="11" t="str">
        <f>IFERROR(""&amp;INDEX(StatusData!$D:$D,MATCH($A17,StatusData!$A:$A,0)),"")</f>
        <v>Claude Opus 5.5</v>
      </c>
      <c r="P17" s="11" t="str">
        <f>IFERROR(""&amp;INDEX(StatusData!$E:$E,MATCH($A17,StatusData!$A:$A,0)),"")</f>
        <v>773eea7</v>
      </c>
      <c r="Q17" s="11" t="str">
        <f>IFERROR(""&amp;INDEX(StatusData!$F:$F,MATCH($A17,StatusData!$A:$A,0)),"")</f>
        <v>2026-09-24: New sera_keys.py (DPAPI ctypes, Argon2id+AES-GCM wrap, office.json, key id, store/load/recover DEK) + tests/test_sera_keys.py (24); full suite 883 passed / 10 pre-existing failures</v>
      </c>
      <c r="R17" s="9" t="str">
        <f t="shared" si="2"/>
        <v/>
      </c>
    </row>
    <row r="18" spans="1:18" x14ac:dyDescent="0.25">
      <c r="A18" s="8" t="s">
        <v>74</v>
      </c>
      <c r="B18" s="9">
        <v>1</v>
      </c>
      <c r="C18" s="9" t="s">
        <v>75</v>
      </c>
      <c r="D18" s="12" t="s">
        <v>47</v>
      </c>
      <c r="E18" s="9" t="s">
        <v>69</v>
      </c>
      <c r="F18" s="9"/>
      <c r="G18" s="9" t="s">
        <v>41</v>
      </c>
      <c r="H18" s="9" t="str">
        <f>INDEX(Models!$C$26:$C$28,MATCH(D18,Models!$A$26:$A$28,0))</f>
        <v>Claude Sonnet 5</v>
      </c>
      <c r="I18" s="9" t="str">
        <f>INDEX(Models!$D$26:$D$28,MATCH(D18,Models!$A$26:$A$28,0))</f>
        <v>Gemini 3.8 Flash, 3.1 Pro, 3.7 Flash (3.6 Flash / 3 Flash / 2.5 Pro only with review)</v>
      </c>
      <c r="J18" s="11" t="str">
        <f>IFERROR(IF(INDEX(StatusData!$B:$B,MATCH($A18,StatusData!$A:$A,0))="","Not started",""&amp;INDEX(StatusData!$B:$B,MATCH($A18,StatusData!$A:$A,0))),"Not started")</f>
        <v>Done</v>
      </c>
      <c r="K18" s="9" t="str">
        <f t="shared" si="0"/>
        <v>Done</v>
      </c>
      <c r="L18" s="9">
        <f t="shared" si="1"/>
        <v>0</v>
      </c>
      <c r="M18" s="11" t="str">
        <f>IFERROR(""&amp;INDEX(StatusData!$C:$C,MATCH($A18,StatusData!$A:$A,0)),"")</f>
        <v>Gemini 3.8 Flash</v>
      </c>
      <c r="N18" s="9" t="str">
        <f>IF(M18="","",IFERROR(IF(INDEX(Models!$E$5:$G$19,MATCH(M18,Models!$A$5:$A$19,0),VALUE(RIGHT(D18,1)))="Yes","OK",IF(INDEX(Models!$E$5:$G$19,MATCH(M18,Models!$A$5:$A$19,0),VALUE(RIGHT(D18,1)))="Caution","Needs T3 review","NOT ALLOWED")),"Unknown model"))</f>
        <v>OK</v>
      </c>
      <c r="O18" s="11" t="str">
        <f>IFERROR(""&amp;INDEX(StatusData!$D:$D,MATCH($A18,StatusData!$A:$A,0)),"")</f>
        <v>Claude Opus 5.5</v>
      </c>
      <c r="P18" s="11" t="str">
        <f>IFERROR(""&amp;INDEX(StatusData!$E:$E,MATCH($A18,StatusData!$A:$A,0)),"")</f>
        <v>7808f87</v>
      </c>
      <c r="Q18" s="11" t="str">
        <f>IFERROR(""&amp;INDEX(StatusData!$F:$F,MATCH($A18,StatusData!$A:$A,0)),"")</f>
        <v>2026-09-24: Start-up key resolution (office mode DEK vs legacy PBKDF2), 889 passed / 10 pre-existing failed</v>
      </c>
      <c r="R18" s="9" t="str">
        <f t="shared" si="2"/>
        <v/>
      </c>
    </row>
    <row r="19" spans="1:18" x14ac:dyDescent="0.25">
      <c r="A19" s="8" t="s">
        <v>76</v>
      </c>
      <c r="B19" s="9">
        <v>1</v>
      </c>
      <c r="C19" s="9" t="s">
        <v>77</v>
      </c>
      <c r="D19" s="10" t="s">
        <v>40</v>
      </c>
      <c r="E19" s="9" t="s">
        <v>74</v>
      </c>
      <c r="F19" s="9"/>
      <c r="G19" s="9" t="s">
        <v>41</v>
      </c>
      <c r="H19" s="9" t="str">
        <f>INDEX(Models!$C$26:$C$28,MATCH(D19,Models!$A$26:$A$28,0))</f>
        <v>Claude Haiku 4.5</v>
      </c>
      <c r="I19" s="9" t="str">
        <f>INDEX(Models!$D$26:$D$28,MATCH(D19,Models!$A$26:$A$28,0))</f>
        <v>Any Gemini model on the Models sheet</v>
      </c>
      <c r="J19" s="11" t="str">
        <f>IFERROR(IF(INDEX(StatusData!$B:$B,MATCH($A19,StatusData!$A:$A,0))="","Not started",""&amp;INDEX(StatusData!$B:$B,MATCH($A19,StatusData!$A:$A,0))),"Not started")</f>
        <v>Done</v>
      </c>
      <c r="K19" s="9" t="str">
        <f t="shared" si="0"/>
        <v>Done</v>
      </c>
      <c r="L19" s="9">
        <f t="shared" si="1"/>
        <v>0</v>
      </c>
      <c r="M19" s="11" t="str">
        <f>IFERROR(""&amp;INDEX(StatusData!$C:$C,MATCH($A19,StatusData!$A:$A,0)),"")</f>
        <v>Claude Sonnet 5</v>
      </c>
      <c r="N19" s="9" t="str">
        <f>IF(M19="","",IFERROR(IF(INDEX(Models!$E$5:$G$19,MATCH(M19,Models!$A$5:$A$19,0),VALUE(RIGHT(D19,1)))="Yes","OK",IF(INDEX(Models!$E$5:$G$19,MATCH(M19,Models!$A$5:$A$19,0),VALUE(RIGHT(D19,1)))="Caution","Needs T3 review","NOT ALLOWED")),"Unknown model"))</f>
        <v>OK</v>
      </c>
      <c r="O19" s="11" t="str">
        <f>IFERROR(""&amp;INDEX(StatusData!$D:$D,MATCH($A19,StatusData!$A:$A,0)),"")</f>
        <v/>
      </c>
      <c r="P19" s="11" t="str">
        <f>IFERROR(""&amp;INDEX(StatusData!$E:$E,MATCH($A19,StatusData!$A:$A,0)),"")</f>
        <v>bb80c15</v>
      </c>
      <c r="Q19" s="11" t="str">
        <f>IFERROR(""&amp;INDEX(StatusData!$F:$F,MATCH($A19,StatusData!$A:$A,0)),"")</f>
        <v>2026-09-24: Parsers try sera_keys office DEK (data dir then code dir) before legacy sera.key/salt. Full suite 891 passed / 10 pre-existing failed.</v>
      </c>
      <c r="R19" s="9" t="str">
        <f t="shared" si="2"/>
        <v/>
      </c>
    </row>
    <row r="20" spans="1:18" ht="25.5" x14ac:dyDescent="0.25">
      <c r="A20" s="8" t="s">
        <v>78</v>
      </c>
      <c r="B20" s="9">
        <v>1</v>
      </c>
      <c r="C20" s="9" t="s">
        <v>79</v>
      </c>
      <c r="D20" s="13" t="s">
        <v>71</v>
      </c>
      <c r="E20" s="9" t="s">
        <v>74</v>
      </c>
      <c r="F20" s="9"/>
      <c r="G20" s="9" t="s">
        <v>48</v>
      </c>
      <c r="H20" s="9" t="str">
        <f>INDEX(Models!$C$26:$C$28,MATCH(D20,Models!$A$26:$A$28,0))</f>
        <v>Claude Fable 5.1 or Opus 5.5</v>
      </c>
      <c r="I20" s="9" t="str">
        <f>INDEX(Models!$D$26:$D$28,MATCH(D20,Models!$A$26:$A$28,0))</f>
        <v>Not allowed (owner decision)</v>
      </c>
      <c r="J20" s="11" t="str">
        <f>IFERROR(IF(INDEX(StatusData!$B:$B,MATCH($A20,StatusData!$A:$A,0))="","Not started",""&amp;INDEX(StatusData!$B:$B,MATCH($A20,StatusData!$A:$A,0))),"Not started")</f>
        <v>Done</v>
      </c>
      <c r="K20" s="9" t="str">
        <f t="shared" si="0"/>
        <v>Done</v>
      </c>
      <c r="L20" s="9">
        <f t="shared" si="1"/>
        <v>0</v>
      </c>
      <c r="M20" s="11" t="str">
        <f>IFERROR(""&amp;INDEX(StatusData!$C:$C,MATCH($A20,StatusData!$A:$A,0)),"")</f>
        <v>Claude Opus 5.5</v>
      </c>
      <c r="N20" s="9" t="str">
        <f>IF(M20="","",IFERROR(IF(INDEX(Models!$E$5:$G$19,MATCH(M20,Models!$A$5:$A$19,0),VALUE(RIGHT(D20,1)))="Yes","OK",IF(INDEX(Models!$E$5:$G$19,MATCH(M20,Models!$A$5:$A$19,0),VALUE(RIGHT(D20,1)))="Caution","Needs T3 review","NOT ALLOWED")),"Unknown model"))</f>
        <v>OK</v>
      </c>
      <c r="O20" s="11" t="str">
        <f>IFERROR(""&amp;INDEX(StatusData!$D:$D,MATCH($A20,StatusData!$A:$A,0)),"")</f>
        <v>Claude Opus 5.5</v>
      </c>
      <c r="P20" s="11" t="str">
        <f>IFERROR(""&amp;INDEX(StatusData!$E:$E,MATCH($A20,StatusData!$A:$A,0)),"")</f>
        <v>c6bcc11</v>
      </c>
      <c r="Q20" s="11" t="str">
        <f>IFERROR(""&amp;INDEX(StatusData!$F:$F,MATCH($A20,StatusData!$A:$A,0)),"")</f>
        <v>2026-09-24: Review round 2: live-DB check refuses missing/empty file; step-6 rollback crash resumes as rollback (phase rolling_back); 28 tests; suite 936 passed / 10 pre-existing failures</v>
      </c>
      <c r="R20" s="9" t="str">
        <f t="shared" si="2"/>
        <v/>
      </c>
    </row>
    <row r="21" spans="1:18" x14ac:dyDescent="0.25">
      <c r="A21" s="8" t="s">
        <v>80</v>
      </c>
      <c r="B21" s="9">
        <v>1</v>
      </c>
      <c r="C21" s="9" t="s">
        <v>81</v>
      </c>
      <c r="D21" s="12" t="s">
        <v>47</v>
      </c>
      <c r="E21" s="9" t="s">
        <v>74</v>
      </c>
      <c r="F21" s="9"/>
      <c r="G21" s="9" t="s">
        <v>41</v>
      </c>
      <c r="H21" s="9" t="str">
        <f>INDEX(Models!$C$26:$C$28,MATCH(D21,Models!$A$26:$A$28,0))</f>
        <v>Claude Sonnet 5</v>
      </c>
      <c r="I21" s="9" t="str">
        <f>INDEX(Models!$D$26:$D$28,MATCH(D21,Models!$A$26:$A$28,0))</f>
        <v>Gemini 3.8 Flash, 3.1 Pro, 3.7 Flash (3.6 Flash / 3 Flash / 2.5 Pro only with review)</v>
      </c>
      <c r="J21" s="11" t="str">
        <f>IFERROR(IF(INDEX(StatusData!$B:$B,MATCH($A21,StatusData!$A:$A,0))="","Not started",""&amp;INDEX(StatusData!$B:$B,MATCH($A21,StatusData!$A:$A,0))),"Not started")</f>
        <v>Done</v>
      </c>
      <c r="K21" s="9" t="str">
        <f t="shared" si="0"/>
        <v>Done</v>
      </c>
      <c r="L21" s="9">
        <f t="shared" si="1"/>
        <v>0</v>
      </c>
      <c r="M21" s="11" t="str">
        <f>IFERROR(""&amp;INDEX(StatusData!$C:$C,MATCH($A21,StatusData!$A:$A,0)),"")</f>
        <v>Gemini 3.8 Flash</v>
      </c>
      <c r="N21" s="9" t="str">
        <f>IF(M21="","",IFERROR(IF(INDEX(Models!$E$5:$G$19,MATCH(M21,Models!$A$5:$A$19,0),VALUE(RIGHT(D21,1)))="Yes","OK",IF(INDEX(Models!$E$5:$G$19,MATCH(M21,Models!$A$5:$A$19,0),VALUE(RIGHT(D21,1)))="Caution","Needs T3 review","NOT ALLOWED")),"Unknown model"))</f>
        <v>OK</v>
      </c>
      <c r="O21" s="11" t="str">
        <f>IFERROR(""&amp;INDEX(StatusData!$D:$D,MATCH($A21,StatusData!$A:$A,0)),"")</f>
        <v>Claude Opus 5.5</v>
      </c>
      <c r="P21" s="11" t="str">
        <f>IFERROR(""&amp;INDEX(StatusData!$E:$E,MATCH($A21,StatusData!$A:$A,0)),"")</f>
        <v>1960b19</v>
      </c>
      <c r="Q21" s="11" t="str">
        <f>IFERROR(""&amp;INDEX(StatusData!$F:$F,MATCH($A21,StatusData!$A:$A,0)),"")</f>
        <v>2026-09-24: Review fixes: zero-salt framing, legacy fetch_snapshot gated, salt backup; 937 passed / 10 failed</v>
      </c>
      <c r="R21" s="9" t="str">
        <f t="shared" si="2"/>
        <v/>
      </c>
    </row>
    <row r="22" spans="1:18" ht="25.5" x14ac:dyDescent="0.25">
      <c r="A22" s="8" t="s">
        <v>82</v>
      </c>
      <c r="B22" s="9">
        <v>1</v>
      </c>
      <c r="C22" s="9" t="s">
        <v>83</v>
      </c>
      <c r="D22" s="12" t="s">
        <v>47</v>
      </c>
      <c r="E22" s="9" t="s">
        <v>69</v>
      </c>
      <c r="F22" s="9"/>
      <c r="G22" s="9" t="s">
        <v>48</v>
      </c>
      <c r="H22" s="9" t="str">
        <f>INDEX(Models!$C$26:$C$28,MATCH(D22,Models!$A$26:$A$28,0))</f>
        <v>Claude Sonnet 5</v>
      </c>
      <c r="I22" s="9" t="str">
        <f>INDEX(Models!$D$26:$D$28,MATCH(D22,Models!$A$26:$A$28,0))</f>
        <v>Gemini 3.8 Flash, 3.1 Pro, 3.7 Flash (3.6 Flash / 3 Flash / 2.5 Pro only with review)</v>
      </c>
      <c r="J22" s="11" t="str">
        <f>IFERROR(IF(INDEX(StatusData!$B:$B,MATCH($A22,StatusData!$A:$A,0))="","Not started",""&amp;INDEX(StatusData!$B:$B,MATCH($A22,StatusData!$A:$A,0))),"Not started")</f>
        <v>Done</v>
      </c>
      <c r="K22" s="9" t="str">
        <f t="shared" si="0"/>
        <v>Done</v>
      </c>
      <c r="L22" s="9">
        <f t="shared" si="1"/>
        <v>0</v>
      </c>
      <c r="M22" s="11" t="str">
        <f>IFERROR(""&amp;INDEX(StatusData!$C:$C,MATCH($A22,StatusData!$A:$A,0)),"")</f>
        <v>Gemini 3.8 Flash</v>
      </c>
      <c r="N22" s="9" t="str">
        <f>IF(M22="","",IFERROR(IF(INDEX(Models!$E$5:$G$19,MATCH(M22,Models!$A$5:$A$19,0),VALUE(RIGHT(D22,1)))="Yes","OK",IF(INDEX(Models!$E$5:$G$19,MATCH(M22,Models!$A$5:$A$19,0),VALUE(RIGHT(D22,1)))="Caution","Needs T3 review","NOT ALLOWED")),"Unknown model"))</f>
        <v>OK</v>
      </c>
      <c r="O22" s="11" t="str">
        <f>IFERROR(""&amp;INDEX(StatusData!$D:$D,MATCH($A22,StatusData!$A:$A,0)),"")</f>
        <v>Claude Opus 5.5</v>
      </c>
      <c r="P22" s="11" t="str">
        <f>IFERROR(""&amp;INDEX(StatusData!$E:$E,MATCH($A22,StatusData!$A:$A,0)),"")</f>
        <v>79149ab</v>
      </c>
      <c r="Q22" s="11" t="str">
        <f>IFERROR(""&amp;INDEX(StatusData!$F:$F,MATCH($A22,StatusData!$A:$A,0)),"")</f>
        <v>2026-09-24: Review blockers A and B resolved: settings backup page fixed, exact whitespace preserved with lenient fallback, full suite clean</v>
      </c>
      <c r="R22" s="9" t="str">
        <f t="shared" si="2"/>
        <v/>
      </c>
    </row>
    <row r="23" spans="1:18" ht="25.5" x14ac:dyDescent="0.25">
      <c r="A23" s="8" t="s">
        <v>84</v>
      </c>
      <c r="B23" s="9">
        <v>2</v>
      </c>
      <c r="C23" s="9" t="s">
        <v>85</v>
      </c>
      <c r="D23" s="12" t="s">
        <v>47</v>
      </c>
      <c r="E23" s="9" t="s">
        <v>69</v>
      </c>
      <c r="F23" s="9"/>
      <c r="G23" s="9" t="s">
        <v>48</v>
      </c>
      <c r="H23" s="9" t="str">
        <f>INDEX(Models!$C$26:$C$28,MATCH(D23,Models!$A$26:$A$28,0))</f>
        <v>Claude Sonnet 5</v>
      </c>
      <c r="I23" s="9" t="str">
        <f>INDEX(Models!$D$26:$D$28,MATCH(D23,Models!$A$26:$A$28,0))</f>
        <v>Gemini 3.8 Flash, 3.1 Pro, 3.7 Flash (3.6 Flash / 3 Flash / 2.5 Pro only with review)</v>
      </c>
      <c r="J23" s="11" t="str">
        <f>IFERROR(IF(INDEX(StatusData!$B:$B,MATCH($A23,StatusData!$A:$A,0))="","Not started",""&amp;INDEX(StatusData!$B:$B,MATCH($A23,StatusData!$A:$A,0))),"Not started")</f>
        <v>Done</v>
      </c>
      <c r="K23" s="9" t="str">
        <f t="shared" si="0"/>
        <v>Done</v>
      </c>
      <c r="L23" s="9">
        <f t="shared" si="1"/>
        <v>0</v>
      </c>
      <c r="M23" s="11" t="str">
        <f>IFERROR(""&amp;INDEX(StatusData!$C:$C,MATCH($A23,StatusData!$A:$A,0)),"")</f>
        <v>Claude Sonnet 5</v>
      </c>
      <c r="N23" s="9" t="str">
        <f>IF(M23="","",IFERROR(IF(INDEX(Models!$E$5:$G$19,MATCH(M23,Models!$A$5:$A$19,0),VALUE(RIGHT(D23,1)))="Yes","OK",IF(INDEX(Models!$E$5:$G$19,MATCH(M23,Models!$A$5:$A$19,0),VALUE(RIGHT(D23,1)))="Caution","Needs T3 review","NOT ALLOWED")),"Unknown model"))</f>
        <v>OK</v>
      </c>
      <c r="O23" s="11" t="str">
        <f>IFERROR(""&amp;INDEX(StatusData!$D:$D,MATCH($A23,StatusData!$A:$A,0)),"")</f>
        <v>Claude Opus 5.5</v>
      </c>
      <c r="P23" s="11" t="str">
        <f>IFERROR(""&amp;INDEX(StatusData!$E:$E,MATCH($A23,StatusData!$A:$A,0)),"")</f>
        <v>292da21</v>
      </c>
      <c r="Q23" s="11" t="str">
        <f>IFERROR(""&amp;INDEX(StatusData!$F:$F,MATCH($A23,StatusData!$A:$A,0)),"")</f>
        <v>2026-09-24: Review-fix round 2: fixed race where load_device_identity could rename another writer's in-progress key/passphrase files; load_device_identity now read-only, cleanup moved into ensure_device_identity under the lock. Also split lock acquire-timeout from stale-steal threshold. 986 passed / 10 pre-existing failed / 2 skipped.</v>
      </c>
      <c r="R23" s="9" t="str">
        <f t="shared" si="2"/>
        <v/>
      </c>
    </row>
    <row r="24" spans="1:18" ht="25.5" x14ac:dyDescent="0.25">
      <c r="A24" s="8" t="s">
        <v>86</v>
      </c>
      <c r="B24" s="9">
        <v>2</v>
      </c>
      <c r="C24" s="9" t="s">
        <v>87</v>
      </c>
      <c r="D24" s="13" t="s">
        <v>71</v>
      </c>
      <c r="E24" s="9" t="s">
        <v>84</v>
      </c>
      <c r="F24" s="9"/>
      <c r="G24" s="9" t="s">
        <v>48</v>
      </c>
      <c r="H24" s="9" t="str">
        <f>INDEX(Models!$C$26:$C$28,MATCH(D24,Models!$A$26:$A$28,0))</f>
        <v>Claude Fable 5.1 or Opus 5.5</v>
      </c>
      <c r="I24" s="9" t="str">
        <f>INDEX(Models!$D$26:$D$28,MATCH(D24,Models!$A$26:$A$28,0))</f>
        <v>Not allowed (owner decision)</v>
      </c>
      <c r="J24" s="11" t="str">
        <f>IFERROR(IF(INDEX(StatusData!$B:$B,MATCH($A24,StatusData!$A:$A,0))="","Not started",""&amp;INDEX(StatusData!$B:$B,MATCH($A24,StatusData!$A:$A,0))),"Not started")</f>
        <v>Done</v>
      </c>
      <c r="K24" s="9" t="str">
        <f t="shared" si="0"/>
        <v>Done</v>
      </c>
      <c r="L24" s="9">
        <f t="shared" si="1"/>
        <v>0</v>
      </c>
      <c r="M24" s="11" t="str">
        <f>IFERROR(""&amp;INDEX(StatusData!$C:$C,MATCH($A24,StatusData!$A:$A,0)),"")</f>
        <v>Claude Opus 5.5</v>
      </c>
      <c r="N24" s="9" t="str">
        <f>IF(M24="","",IFERROR(IF(INDEX(Models!$E$5:$G$19,MATCH(M24,Models!$A$5:$A$19,0),VALUE(RIGHT(D24,1)))="Yes","OK",IF(INDEX(Models!$E$5:$G$19,MATCH(M24,Models!$A$5:$A$19,0),VALUE(RIGHT(D24,1)))="Caution","Needs T3 review","NOT ALLOWED")),"Unknown model"))</f>
        <v>OK</v>
      </c>
      <c r="O24" s="11" t="str">
        <f>IFERROR(""&amp;INDEX(StatusData!$D:$D,MATCH($A24,StatusData!$A:$A,0)),"")</f>
        <v>Claude Opus 5.5</v>
      </c>
      <c r="P24" s="11" t="str">
        <f>IFERROR(""&amp;INDEX(StatusData!$E:$E,MATCH($A24,StatusData!$A:$A,0)),"")</f>
        <v>0820ee8</v>
      </c>
      <c r="Q24" s="11" t="str">
        <f>IFERROR(""&amp;INDEX(StatusData!$F:$F,MATCH($A24,StatusData!$A:$A,0)),"")</f>
        <v>2026-09-24: Review fixes: revoke is final + letter/cert immutable in store_record; readers always verify; claim_admin check inside tx, refuses caller tx; 63 tests; suite 1049 passed / 10 pre-existing failed / 2 skipped</v>
      </c>
      <c r="R24" s="9" t="str">
        <f t="shared" si="2"/>
        <v/>
      </c>
    </row>
    <row r="25" spans="1:18" ht="25.5" x14ac:dyDescent="0.25">
      <c r="A25" s="8" t="s">
        <v>88</v>
      </c>
      <c r="B25" s="9">
        <v>2</v>
      </c>
      <c r="C25" s="9" t="s">
        <v>89</v>
      </c>
      <c r="D25" s="13" t="s">
        <v>71</v>
      </c>
      <c r="E25" s="9" t="s">
        <v>84</v>
      </c>
      <c r="F25" s="9"/>
      <c r="G25" s="9" t="s">
        <v>48</v>
      </c>
      <c r="H25" s="9" t="str">
        <f>INDEX(Models!$C$26:$C$28,MATCH(D25,Models!$A$26:$A$28,0))</f>
        <v>Claude Fable 5.1 or Opus 5.5</v>
      </c>
      <c r="I25" s="9" t="str">
        <f>INDEX(Models!$D$26:$D$28,MATCH(D25,Models!$A$26:$A$28,0))</f>
        <v>Not allowed (owner decision)</v>
      </c>
      <c r="J25" s="11" t="str">
        <f>IFERROR(IF(INDEX(StatusData!$B:$B,MATCH($A25,StatusData!$A:$A,0))="","Not started",""&amp;INDEX(StatusData!$B:$B,MATCH($A25,StatusData!$A:$A,0))),"Not started")</f>
        <v>Done</v>
      </c>
      <c r="K25" s="9" t="str">
        <f t="shared" si="0"/>
        <v>Done</v>
      </c>
      <c r="L25" s="9">
        <f t="shared" si="1"/>
        <v>0</v>
      </c>
      <c r="M25" s="11" t="str">
        <f>IFERROR(""&amp;INDEX(StatusData!$C:$C,MATCH($A25,StatusData!$A:$A,0)),"")</f>
        <v>Claude Opus 5.5</v>
      </c>
      <c r="N25" s="9" t="str">
        <f>IF(M25="","",IFERROR(IF(INDEX(Models!$E$5:$G$19,MATCH(M25,Models!$A$5:$A$19,0),VALUE(RIGHT(D25,1)))="Yes","OK",IF(INDEX(Models!$E$5:$G$19,MATCH(M25,Models!$A$5:$A$19,0),VALUE(RIGHT(D25,1)))="Caution","Needs T3 review","NOT ALLOWED")),"Unknown model"))</f>
        <v>OK</v>
      </c>
      <c r="O25" s="11" t="str">
        <f>IFERROR(""&amp;INDEX(StatusData!$D:$D,MATCH($A25,StatusData!$A:$A,0)),"")</f>
        <v>Claude Opus 5.5</v>
      </c>
      <c r="P25" s="11" t="str">
        <f>IFERROR(""&amp;INDEX(StatusData!$E:$E,MATCH($A25,StatusData!$A:$A,0)),"")</f>
        <v>75e98e0</v>
      </c>
      <c r="Q25" s="11" t="str">
        <f>IFERROR(""&amp;INDEX(StatusData!$F:$F,MATCH($A25,StatusData!$A:$A,0)),"")</f>
        <v>2026-09-24: Review fixes: session slots only after member check + pending-handshake caps, recv(wait=), sink/RecursionError/empty-chunk fixes; 32 transport tests; full suite 1081 passed / 10 pre-existing failures</v>
      </c>
      <c r="R25" s="9" t="str">
        <f t="shared" si="2"/>
        <v/>
      </c>
    </row>
    <row r="26" spans="1:18" ht="25.5" x14ac:dyDescent="0.25">
      <c r="A26" s="8" t="s">
        <v>90</v>
      </c>
      <c r="B26" s="9">
        <v>2</v>
      </c>
      <c r="C26" s="9" t="s">
        <v>91</v>
      </c>
      <c r="D26" s="13" t="s">
        <v>71</v>
      </c>
      <c r="E26" s="9" t="s">
        <v>92</v>
      </c>
      <c r="F26" s="9"/>
      <c r="G26" s="9" t="s">
        <v>48</v>
      </c>
      <c r="H26" s="9" t="str">
        <f>INDEX(Models!$C$26:$C$28,MATCH(D26,Models!$A$26:$A$28,0))</f>
        <v>Claude Fable 5.1 or Opus 5.5</v>
      </c>
      <c r="I26" s="9" t="str">
        <f>INDEX(Models!$D$26:$D$28,MATCH(D26,Models!$A$26:$A$28,0))</f>
        <v>Not allowed (owner decision)</v>
      </c>
      <c r="J26" s="11" t="str">
        <f>IFERROR(IF(INDEX(StatusData!$B:$B,MATCH($A26,StatusData!$A:$A,0))="","Not started",""&amp;INDEX(StatusData!$B:$B,MATCH($A26,StatusData!$A:$A,0))),"Not started")</f>
        <v>Done</v>
      </c>
      <c r="K26" s="9" t="str">
        <f t="shared" si="0"/>
        <v>Done</v>
      </c>
      <c r="L26" s="9">
        <f t="shared" si="1"/>
        <v>0</v>
      </c>
      <c r="M26" s="11" t="str">
        <f>IFERROR(""&amp;INDEX(StatusData!$C:$C,MATCH($A26,StatusData!$A:$A,0)),"")</f>
        <v>Claude Opus 5.5</v>
      </c>
      <c r="N26" s="9" t="str">
        <f>IF(M26="","",IFERROR(IF(INDEX(Models!$E$5:$G$19,MATCH(M26,Models!$A$5:$A$19,0),VALUE(RIGHT(D26,1)))="Yes","OK",IF(INDEX(Models!$E$5:$G$19,MATCH(M26,Models!$A$5:$A$19,0),VALUE(RIGHT(D26,1)))="Caution","Needs T3 review","NOT ALLOWED")),"Unknown model"))</f>
        <v>OK</v>
      </c>
      <c r="O26" s="11" t="str">
        <f>IFERROR(""&amp;INDEX(StatusData!$D:$D,MATCH($A26,StatusData!$A:$A,0)),"")</f>
        <v>Claude Opus 5.5</v>
      </c>
      <c r="P26" s="11" t="str">
        <f>IFERROR(""&amp;INDEX(StatusData!$E:$E,MATCH($A26,StatusData!$A:$A,0)),"")</f>
        <v>d2627e2</v>
      </c>
      <c r="Q26" s="11" t="str">
        <f>IFERROR(""&amp;INDEX(StatusData!$F:$F,MATCH($A26,StatusData!$A:$A,0)),"")</f>
        <v>2026-09-24: Review fixes: no second join in the join/close gap (close before freeing slot; close ends any session), stall warning, _install order; 38 pairing tests pass; full suite 1143 passed / 10 pre-existing failures</v>
      </c>
      <c r="R26" s="9" t="str">
        <f t="shared" si="2"/>
        <v/>
      </c>
    </row>
    <row r="27" spans="1:18" x14ac:dyDescent="0.25">
      <c r="A27" s="8" t="s">
        <v>93</v>
      </c>
      <c r="B27" s="9">
        <v>2</v>
      </c>
      <c r="C27" s="9" t="s">
        <v>94</v>
      </c>
      <c r="D27" s="12" t="s">
        <v>47</v>
      </c>
      <c r="E27" s="9" t="s">
        <v>88</v>
      </c>
      <c r="F27" s="9"/>
      <c r="G27" s="9" t="s">
        <v>41</v>
      </c>
      <c r="H27" s="9" t="str">
        <f>INDEX(Models!$C$26:$C$28,MATCH(D27,Models!$A$26:$A$28,0))</f>
        <v>Claude Sonnet 5</v>
      </c>
      <c r="I27" s="9" t="str">
        <f>INDEX(Models!$D$26:$D$28,MATCH(D27,Models!$A$26:$A$28,0))</f>
        <v>Gemini 3.8 Flash, 3.1 Pro, 3.7 Flash (3.6 Flash / 3 Flash / 2.5 Pro only with review)</v>
      </c>
      <c r="J27" s="11" t="str">
        <f>IFERROR(IF(INDEX(StatusData!$B:$B,MATCH($A27,StatusData!$A:$A,0))="","Not started",""&amp;INDEX(StatusData!$B:$B,MATCH($A27,StatusData!$A:$A,0))),"Not started")</f>
        <v>Done</v>
      </c>
      <c r="K27" s="9" t="str">
        <f t="shared" si="0"/>
        <v>Done</v>
      </c>
      <c r="L27" s="9">
        <f t="shared" si="1"/>
        <v>0</v>
      </c>
      <c r="M27" s="11" t="str">
        <f>IFERROR(""&amp;INDEX(StatusData!$C:$C,MATCH($A27,StatusData!$A:$A,0)),"")</f>
        <v>Gemini 3.8 Flash</v>
      </c>
      <c r="N27" s="9" t="str">
        <f>IF(M27="","",IFERROR(IF(INDEX(Models!$E$5:$G$19,MATCH(M27,Models!$A$5:$A$19,0),VALUE(RIGHT(D27,1)))="Yes","OK",IF(INDEX(Models!$E$5:$G$19,MATCH(M27,Models!$A$5:$A$19,0),VALUE(RIGHT(D27,1)))="Caution","Needs T3 review","NOT ALLOWED")),"Unknown model"))</f>
        <v>OK</v>
      </c>
      <c r="O27" s="11" t="str">
        <f>IFERROR(""&amp;INDEX(StatusData!$D:$D,MATCH($A27,StatusData!$A:$A,0)),"")</f>
        <v>Claude Opus 5.5</v>
      </c>
      <c r="P27" s="11" t="str">
        <f>IFERROR(""&amp;INDEX(StatusData!$E:$E,MATCH($A27,StatusData!$A:$A,0)),"")</f>
        <v>31dc65f</v>
      </c>
      <c r="Q27" s="11" t="str">
        <f>IFERROR(""&amp;INDEX(StatusData!$F:$F,MATCH($A27,StatusData!$A:$A,0)),"")</f>
        <v>2026-09-24: Review fixes &amp; refinements: listen=False mode, ephemeral unicast reply, sightings capping (500), open_db warning, gossip IP validation; 28 tests pass</v>
      </c>
      <c r="R27" s="9" t="str">
        <f t="shared" si="2"/>
        <v/>
      </c>
    </row>
    <row r="28" spans="1:18" ht="25.5" x14ac:dyDescent="0.25">
      <c r="A28" s="8" t="s">
        <v>95</v>
      </c>
      <c r="B28" s="9">
        <v>2</v>
      </c>
      <c r="C28" s="9" t="s">
        <v>96</v>
      </c>
      <c r="D28" s="12" t="s">
        <v>47</v>
      </c>
      <c r="E28" s="9" t="s">
        <v>97</v>
      </c>
      <c r="F28" s="9"/>
      <c r="G28" s="9" t="s">
        <v>48</v>
      </c>
      <c r="H28" s="9" t="str">
        <f>INDEX(Models!$C$26:$C$28,MATCH(D28,Models!$A$26:$A$28,0))</f>
        <v>Claude Sonnet 5</v>
      </c>
      <c r="I28" s="9" t="str">
        <f>INDEX(Models!$D$26:$D$28,MATCH(D28,Models!$A$26:$A$28,0))</f>
        <v>Gemini 3.8 Flash, 3.1 Pro, 3.7 Flash (3.6 Flash / 3 Flash / 2.5 Pro only with review)</v>
      </c>
      <c r="J28" s="11" t="str">
        <f>IFERROR(IF(INDEX(StatusData!$B:$B,MATCH($A28,StatusData!$A:$A,0))="","Not started",""&amp;INDEX(StatusData!$B:$B,MATCH($A28,StatusData!$A:$A,0))),"Not started")</f>
        <v>Done</v>
      </c>
      <c r="K28" s="9" t="str">
        <f t="shared" si="0"/>
        <v>Done</v>
      </c>
      <c r="L28" s="9">
        <f t="shared" si="1"/>
        <v>0</v>
      </c>
      <c r="M28" s="11" t="str">
        <f>IFERROR(""&amp;INDEX(StatusData!$C:$C,MATCH($A28,StatusData!$A:$A,0)),"")</f>
        <v>Gemini 3.8 Flash</v>
      </c>
      <c r="N28" s="9" t="str">
        <f>IF(M28="","",IFERROR(IF(INDEX(Models!$E$5:$G$19,MATCH(M28,Models!$A$5:$A$19,0),VALUE(RIGHT(D28,1)))="Yes","OK",IF(INDEX(Models!$E$5:$G$19,MATCH(M28,Models!$A$5:$A$19,0),VALUE(RIGHT(D28,1)))="Caution","Needs T3 review","NOT ALLOWED")),"Unknown model"))</f>
        <v>OK</v>
      </c>
      <c r="O28" s="11" t="str">
        <f>IFERROR(""&amp;INDEX(StatusData!$D:$D,MATCH($A28,StatusData!$A:$A,0)),"")</f>
        <v>Claude Opus 5.5</v>
      </c>
      <c r="P28" s="11" t="str">
        <f>IFERROR(""&amp;INDEX(StatusData!$E:$E,MATCH($A28,StatusData!$A:$A,0)),"")</f>
        <v>e15c420</v>
      </c>
      <c r="Q28" s="11" t="str">
        <f>IFERROR(""&amp;INDEX(StatusData!$F:$F,MATCH($A28,StatusData!$A:$A,0)),"")</f>
        <v>2026-09-24: Snapshot mTLS service, export, verification, atomic joiner install with backups (master.db last); 11 tests passed. Open items for P2-7/P2-8/P3-5 recorded in blueprint §9 P2-6 notes (P2-7 must start the snapshot server).</v>
      </c>
      <c r="R28" s="9" t="str">
        <f t="shared" si="2"/>
        <v/>
      </c>
    </row>
    <row r="29" spans="1:18" ht="25.5" x14ac:dyDescent="0.25">
      <c r="A29" s="8" t="s">
        <v>98</v>
      </c>
      <c r="B29" s="9">
        <v>2</v>
      </c>
      <c r="C29" s="9" t="s">
        <v>99</v>
      </c>
      <c r="D29" s="12" t="s">
        <v>47</v>
      </c>
      <c r="E29" s="9" t="s">
        <v>100</v>
      </c>
      <c r="F29" s="9"/>
      <c r="G29" s="9" t="s">
        <v>41</v>
      </c>
      <c r="H29" s="9" t="str">
        <f>INDEX(Models!$C$26:$C$28,MATCH(D29,Models!$A$26:$A$28,0))</f>
        <v>Claude Sonnet 5</v>
      </c>
      <c r="I29" s="9" t="str">
        <f>INDEX(Models!$D$26:$D$28,MATCH(D29,Models!$A$26:$A$28,0))</f>
        <v>Gemini 3.8 Flash, 3.1 Pro, 3.7 Flash (3.6 Flash / 3 Flash / 2.5 Pro only with review)</v>
      </c>
      <c r="J29" s="11" t="str">
        <f>IFERROR(IF(INDEX(StatusData!$B:$B,MATCH($A29,StatusData!$A:$A,0))="","Not started",""&amp;INDEX(StatusData!$B:$B,MATCH($A29,StatusData!$A:$A,0))),"Not started")</f>
        <v>Done</v>
      </c>
      <c r="K29" s="9" t="str">
        <f t="shared" si="0"/>
        <v>Done</v>
      </c>
      <c r="L29" s="9">
        <f t="shared" si="1"/>
        <v>0</v>
      </c>
      <c r="M29" s="11" t="str">
        <f>IFERROR(""&amp;INDEX(StatusData!$C:$C,MATCH($A29,StatusData!$A:$A,0)),"")</f>
        <v>Claude Sonnet 5</v>
      </c>
      <c r="N29" s="9" t="str">
        <f>IF(M29="","",IFERROR(IF(INDEX(Models!$E$5:$G$19,MATCH(M29,Models!$A$5:$A$19,0),VALUE(RIGHT(D29,1)))="Yes","OK",IF(INDEX(Models!$E$5:$G$19,MATCH(M29,Models!$A$5:$A$19,0),VALUE(RIGHT(D29,1)))="Caution","Needs T3 review","NOT ALLOWED")),"Unknown model"))</f>
        <v>OK</v>
      </c>
      <c r="O29" s="11" t="str">
        <f>IFERROR(""&amp;INDEX(StatusData!$D:$D,MATCH($A29,StatusData!$A:$A,0)),"")</f>
        <v>Claude Opus 5.5</v>
      </c>
      <c r="P29" s="11" t="str">
        <f>IFERROR(""&amp;INDEX(StatusData!$E:$E,MATCH($A29,StatusData!$A:$A,0)),"")</f>
        <v>d8af4c1</v>
      </c>
      <c r="Q29" s="11" t="str">
        <f>IFERROR(""&amp;INDEX(StatusData!$F:$F,MATCH($A29,StatusData!$A:$A,0)),"")</f>
        <v>2026-09-25: UI: Join wizard, Add workstation, Members, Remove, Hand over/Become admin. New sync_office.py (create_new_office, join_office, AddWorkstationSession) + sync_admin.hand_over_admin. Fixed main.py office_mode start-up gap and QTimer.singleShot cross-thread bug (Qt signals) across both first-run pages. 20 new tests (test_sync_office.py, test_sync_office_ui.py) + 5 hand_over_admin tests; full suite 1279 passed / 16 pre-existing+expected failed.</v>
      </c>
      <c r="R29" s="9" t="str">
        <f t="shared" si="2"/>
        <v/>
      </c>
    </row>
    <row r="30" spans="1:18" ht="25.5" x14ac:dyDescent="0.25">
      <c r="A30" s="8" t="s">
        <v>101</v>
      </c>
      <c r="B30" s="9">
        <v>2</v>
      </c>
      <c r="C30" s="9" t="s">
        <v>102</v>
      </c>
      <c r="D30" s="13" t="s">
        <v>71</v>
      </c>
      <c r="E30" s="9" t="s">
        <v>95</v>
      </c>
      <c r="F30" s="9"/>
      <c r="G30" s="9" t="s">
        <v>48</v>
      </c>
      <c r="H30" s="9" t="str">
        <f>INDEX(Models!$C$26:$C$28,MATCH(D30,Models!$A$26:$A$28,0))</f>
        <v>Claude Fable 5.1 or Opus 5.5</v>
      </c>
      <c r="I30" s="9" t="str">
        <f>INDEX(Models!$D$26:$D$28,MATCH(D30,Models!$A$26:$A$28,0))</f>
        <v>Not allowed (owner decision)</v>
      </c>
      <c r="J30" s="11" t="str">
        <f>IFERROR(IF(INDEX(StatusData!$B:$B,MATCH($A30,StatusData!$A:$A,0))="","Not started",""&amp;INDEX(StatusData!$B:$B,MATCH($A30,StatusData!$A:$A,0))),"Not started")</f>
        <v>Done</v>
      </c>
      <c r="K30" s="9" t="str">
        <f t="shared" si="0"/>
        <v>Done</v>
      </c>
      <c r="L30" s="9">
        <f t="shared" si="1"/>
        <v>0</v>
      </c>
      <c r="M30" s="11" t="str">
        <f>IFERROR(""&amp;INDEX(StatusData!$C:$C,MATCH($A30,StatusData!$A:$A,0)),"")</f>
        <v>Claude Opus 5.5</v>
      </c>
      <c r="N30" s="9" t="str">
        <f>IF(M30="","",IFERROR(IF(INDEX(Models!$E$5:$G$19,MATCH(M30,Models!$A$5:$A$19,0),VALUE(RIGHT(D30,1)))="Yes","OK",IF(INDEX(Models!$E$5:$G$19,MATCH(M30,Models!$A$5:$A$19,0),VALUE(RIGHT(D30,1)))="Caution","Needs T3 review","NOT ALLOWED")),"Unknown model"))</f>
        <v>OK</v>
      </c>
      <c r="O30" s="11" t="str">
        <f>IFERROR(""&amp;INDEX(StatusData!$D:$D,MATCH($A30,StatusData!$A:$A,0)),"")</f>
        <v>Claude Opus 5.5</v>
      </c>
      <c r="P30" s="11" t="str">
        <f>IFERROR(""&amp;INDEX(StatusData!$E:$E,MATCH($A30,StatusData!$A:$A,0)),"")</f>
        <v>35a9afd</v>
      </c>
      <c r="Q30" s="11" t="str">
        <f>IFERROR(""&amp;INDEX(StatusData!$F:$F,MATCH($A30,StatusData!$A:$A,0)),"")</f>
        <v>2026-09-24: New sync_rejoin.py + rejoin wizard/salvage dialog, main.py hook, Rejoin button, P2-6 sidecar abort; 35 new tests pass; full suite 1214 passed / 26 failed (10 pre-existing, 6 P3-0 expected, 10 from P2-7's unfinished dialog + its icon)</v>
      </c>
      <c r="R30" s="9" t="str">
        <f t="shared" si="2"/>
        <v/>
      </c>
    </row>
    <row r="31" spans="1:18" ht="25.5" x14ac:dyDescent="0.25">
      <c r="A31" s="8" t="s">
        <v>103</v>
      </c>
      <c r="B31" s="9">
        <v>3</v>
      </c>
      <c r="C31" s="9" t="s">
        <v>104</v>
      </c>
      <c r="D31" s="12" t="s">
        <v>47</v>
      </c>
      <c r="E31" s="9" t="s">
        <v>88</v>
      </c>
      <c r="F31" s="9"/>
      <c r="G31" s="9" t="s">
        <v>48</v>
      </c>
      <c r="H31" s="9" t="str">
        <f>INDEX(Models!$C$26:$C$28,MATCH(D31,Models!$A$26:$A$28,0))</f>
        <v>Claude Sonnet 5</v>
      </c>
      <c r="I31" s="9" t="str">
        <f>INDEX(Models!$D$26:$D$28,MATCH(D31,Models!$A$26:$A$28,0))</f>
        <v>Gemini 3.8 Flash, 3.1 Pro, 3.7 Flash (3.6 Flash / 3 Flash / 2.5 Pro only with review)</v>
      </c>
      <c r="J31" s="11" t="str">
        <f>IFERROR(IF(INDEX(StatusData!$B:$B,MATCH($A31,StatusData!$A:$A,0))="","Not started",""&amp;INDEX(StatusData!$B:$B,MATCH($A31,StatusData!$A:$A,0))),"Not started")</f>
        <v>Done</v>
      </c>
      <c r="K31" s="9" t="str">
        <f t="shared" si="0"/>
        <v>Done</v>
      </c>
      <c r="L31" s="9">
        <f t="shared" si="1"/>
        <v>0</v>
      </c>
      <c r="M31" s="11" t="str">
        <f>IFERROR(""&amp;INDEX(StatusData!$C:$C,MATCH($A31,StatusData!$A:$A,0)),"")</f>
        <v>Gemini 3.8 Flash</v>
      </c>
      <c r="N31" s="9" t="str">
        <f>IF(M31="","",IFERROR(IF(INDEX(Models!$E$5:$G$19,MATCH(M31,Models!$A$5:$A$19,0),VALUE(RIGHT(D31,1)))="Yes","OK",IF(INDEX(Models!$E$5:$G$19,MATCH(M31,Models!$A$5:$A$19,0),VALUE(RIGHT(D31,1)))="Caution","Needs T3 review","NOT ALLOWED")),"Unknown model"))</f>
        <v>OK</v>
      </c>
      <c r="O31" s="11" t="str">
        <f>IFERROR(""&amp;INDEX(StatusData!$D:$D,MATCH($A31,StatusData!$A:$A,0)),"")</f>
        <v>Claude Opus 5.5</v>
      </c>
      <c r="P31" s="11" t="str">
        <f>IFERROR(""&amp;INDEX(StatusData!$E:$E,MATCH($A31,StatusData!$A:$A,0)),"")</f>
        <v>be84d98</v>
      </c>
      <c r="Q31" s="11" t="str">
        <f>IFERROR(""&amp;INDEX(StatusData!$F:$F,MATCH($A31,StatusData!$A:$A,0)),"")</f>
        <v>2026-09-24: Review round 3 fixes: write() routes via SeraDatabase._connect for sealer hooks, dynamic time in (b), (d) conflict row on n0 only, (e) partitioned single batch &amp; vector freeze check, stringified FK translation in digest; 7 harness passed, 6 convergence failed as expected, 1185 passed in full suite</v>
      </c>
      <c r="R31" s="9" t="str">
        <f t="shared" si="2"/>
        <v/>
      </c>
    </row>
    <row r="32" spans="1:18" ht="25.5" x14ac:dyDescent="0.25">
      <c r="A32" s="8" t="s">
        <v>105</v>
      </c>
      <c r="B32" s="9">
        <v>3</v>
      </c>
      <c r="C32" s="9" t="s">
        <v>106</v>
      </c>
      <c r="D32" s="12" t="s">
        <v>47</v>
      </c>
      <c r="E32" s="9"/>
      <c r="F32" s="9"/>
      <c r="G32" s="9" t="s">
        <v>48</v>
      </c>
      <c r="H32" s="9" t="str">
        <f>INDEX(Models!$C$26:$C$28,MATCH(D32,Models!$A$26:$A$28,0))</f>
        <v>Claude Sonnet 5</v>
      </c>
      <c r="I32" s="9" t="str">
        <f>INDEX(Models!$D$26:$D$28,MATCH(D32,Models!$A$26:$A$28,0))</f>
        <v>Gemini 3.8 Flash, 3.1 Pro, 3.7 Flash (3.6 Flash / 3 Flash / 2.5 Pro only with review)</v>
      </c>
      <c r="J32" s="11" t="str">
        <f>IFERROR(IF(INDEX(StatusData!$B:$B,MATCH($A32,StatusData!$A:$A,0))="","Not started",""&amp;INDEX(StatusData!$B:$B,MATCH($A32,StatusData!$A:$A,0))),"Not started")</f>
        <v>Done</v>
      </c>
      <c r="K32" s="9" t="str">
        <f t="shared" si="0"/>
        <v>Done</v>
      </c>
      <c r="L32" s="9">
        <f t="shared" si="1"/>
        <v>0</v>
      </c>
      <c r="M32" s="11" t="str">
        <f>IFERROR(""&amp;INDEX(StatusData!$C:$C,MATCH($A32,StatusData!$A:$A,0)),"")</f>
        <v>Claude Sonnet 5</v>
      </c>
      <c r="N32" s="9" t="str">
        <f>IF(M32="","",IFERROR(IF(INDEX(Models!$E$5:$G$19,MATCH(M32,Models!$A$5:$A$19,0),VALUE(RIGHT(D32,1)))="Yes","OK",IF(INDEX(Models!$E$5:$G$19,MATCH(M32,Models!$A$5:$A$19,0),VALUE(RIGHT(D32,1)))="Caution","Needs T3 review","NOT ALLOWED")),"Unknown model"))</f>
        <v>OK</v>
      </c>
      <c r="O32" s="11" t="str">
        <f>IFERROR(""&amp;INDEX(StatusData!$D:$D,MATCH($A32,StatusData!$A:$A,0)),"")</f>
        <v>Claude Opus 5.5</v>
      </c>
      <c r="P32" s="11" t="str">
        <f>IFERROR(""&amp;INDEX(StatusData!$E:$E,MATCH($A32,StatusData!$A:$A,0)),"")</f>
        <v>882d054</v>
      </c>
      <c r="Q32" s="11" t="str">
        <f>IFERROR(""&amp;INDEX(StatusData!$F:$F,MATCH($A32,StatusData!$A:$A,0)),"")</f>
        <v>2026-09-24: Round 2: client_raw_containers reverted to local (whole-row lww would have caused certain data loss via re_resolve_all_tracker_dumps' DELETE+rebuild under P3-3/P3-4 tombstone rules). New pending_creation client_container_notes TableSpec added for staff notes, lww, table itself not yet built (flagged for P3-2). 22 new schema tests + 2 database tests pass; full suite at baseline.</v>
      </c>
      <c r="R32" s="9" t="str">
        <f t="shared" si="2"/>
        <v/>
      </c>
    </row>
    <row r="33" spans="1:18" ht="25.5" x14ac:dyDescent="0.25">
      <c r="A33" s="8" t="s">
        <v>107</v>
      </c>
      <c r="B33" s="9">
        <v>3</v>
      </c>
      <c r="C33" s="9" t="s">
        <v>108</v>
      </c>
      <c r="D33" s="12" t="s">
        <v>47</v>
      </c>
      <c r="E33" s="9" t="s">
        <v>105</v>
      </c>
      <c r="F33" s="9"/>
      <c r="G33" s="9" t="s">
        <v>41</v>
      </c>
      <c r="H33" s="9" t="str">
        <f>INDEX(Models!$C$26:$C$28,MATCH(D33,Models!$A$26:$A$28,0))</f>
        <v>Claude Sonnet 5</v>
      </c>
      <c r="I33" s="9" t="str">
        <f>INDEX(Models!$D$26:$D$28,MATCH(D33,Models!$A$26:$A$28,0))</f>
        <v>Gemini 3.8 Flash, 3.1 Pro, 3.7 Flash (3.6 Flash / 3 Flash / 2.5 Pro only with review)</v>
      </c>
      <c r="J33" s="11" t="str">
        <f>IFERROR(IF(INDEX(StatusData!$B:$B,MATCH($A33,StatusData!$A:$A,0))="","Not started",""&amp;INDEX(StatusData!$B:$B,MATCH($A33,StatusData!$A:$A,0))),"Not started")</f>
        <v>Done</v>
      </c>
      <c r="K33" s="9" t="str">
        <f t="shared" si="0"/>
        <v>Done</v>
      </c>
      <c r="L33" s="9">
        <f t="shared" si="1"/>
        <v>0</v>
      </c>
      <c r="M33" s="11" t="str">
        <f>IFERROR(""&amp;INDEX(StatusData!$C:$C,MATCH($A33,StatusData!$A:$A,0)),"")</f>
        <v>Gemini 3.8 Flash</v>
      </c>
      <c r="N33" s="9" t="str">
        <f>IF(M33="","",IFERROR(IF(INDEX(Models!$E$5:$G$19,MATCH(M33,Models!$A$5:$A$19,0),VALUE(RIGHT(D33,1)))="Yes","OK",IF(INDEX(Models!$E$5:$G$19,MATCH(M33,Models!$A$5:$A$19,0),VALUE(RIGHT(D33,1)))="Caution","Needs T3 review","NOT ALLOWED")),"Unknown model"))</f>
        <v>OK</v>
      </c>
      <c r="O33" s="11" t="str">
        <f>IFERROR(""&amp;INDEX(StatusData!$D:$D,MATCH($A33,StatusData!$A:$A,0)),"")</f>
        <v>Claude Opus 5.5</v>
      </c>
      <c r="P33" s="11" t="str">
        <f>IFERROR(""&amp;INDEX(StatusData!$E:$E,MATCH($A33,StatusData!$A:$A,0)),"")</f>
        <v>067828b</v>
      </c>
      <c r="Q33" s="11" t="str">
        <f>IFERROR(""&amp;INDEX(StatusData!$F:$F,MATCH($A33,StatusData!$A:$A,0)),"")</f>
        <v>2026-09-25: B1 fixed, all should-fix items addressed, fresh INI seeding harmonized; 104 passed / 0 failed</v>
      </c>
      <c r="R33" s="9" t="str">
        <f t="shared" si="2"/>
        <v/>
      </c>
    </row>
    <row r="34" spans="1:18" ht="25.5" x14ac:dyDescent="0.25">
      <c r="A34" s="8" t="s">
        <v>109</v>
      </c>
      <c r="B34" s="9">
        <v>3</v>
      </c>
      <c r="C34" s="9" t="s">
        <v>110</v>
      </c>
      <c r="D34" s="13" t="s">
        <v>71</v>
      </c>
      <c r="E34" s="9" t="s">
        <v>107</v>
      </c>
      <c r="F34" s="9"/>
      <c r="G34" s="9" t="s">
        <v>48</v>
      </c>
      <c r="H34" s="9" t="str">
        <f>INDEX(Models!$C$26:$C$28,MATCH(D34,Models!$A$26:$A$28,0))</f>
        <v>Claude Fable 5.1 or Opus 5.5</v>
      </c>
      <c r="I34" s="9" t="str">
        <f>INDEX(Models!$D$26:$D$28,MATCH(D34,Models!$A$26:$A$28,0))</f>
        <v>Not allowed (owner decision)</v>
      </c>
      <c r="J34" s="11" t="str">
        <f>IFERROR(IF(INDEX(StatusData!$B:$B,MATCH($A34,StatusData!$A:$A,0))="","Not started",""&amp;INDEX(StatusData!$B:$B,MATCH($A34,StatusData!$A:$A,0))),"Not started")</f>
        <v>Done</v>
      </c>
      <c r="K34" s="9" t="str">
        <f t="shared" si="0"/>
        <v>Done</v>
      </c>
      <c r="L34" s="9">
        <f t="shared" si="1"/>
        <v>0</v>
      </c>
      <c r="M34" s="11" t="str">
        <f>IFERROR(""&amp;INDEX(StatusData!$C:$C,MATCH($A34,StatusData!$A:$A,0)),"")</f>
        <v>Claude Opus 5.5</v>
      </c>
      <c r="N34" s="9" t="str">
        <f>IF(M34="","",IFERROR(IF(INDEX(Models!$E$5:$G$19,MATCH(M34,Models!$A$5:$A$19,0),VALUE(RIGHT(D34,1)))="Yes","OK",IF(INDEX(Models!$E$5:$G$19,MATCH(M34,Models!$A$5:$A$19,0),VALUE(RIGHT(D34,1)))="Caution","Needs T3 review","NOT ALLOWED")),"Unknown model"))</f>
        <v>OK</v>
      </c>
      <c r="O34" s="11" t="str">
        <f>IFERROR(""&amp;INDEX(StatusData!$D:$D,MATCH($A34,StatusData!$A:$A,0)),"")</f>
        <v>Claude Opus 5.5</v>
      </c>
      <c r="P34" s="11" t="str">
        <f>IFERROR(""&amp;INDEX(StatusData!$E:$E,MATCH($A34,StatusData!$A:$A,0)),"")</f>
        <v>f34baaa</v>
      </c>
      <c r="Q34" s="11" t="str">
        <f>IFERROR(""&amp;INDEX(StatusData!$F:$F,MATCH($A34,StatusData!$A:$A,0)),"")</f>
        <v>2026-09-25: Review fixes + owner option A: per-stream seq high-water mark in keys/sync_seq.json (raised after commit; unreadable file stops sealing); 86 tests pass; full suite 1366/16 (known)</v>
      </c>
      <c r="R34" s="9" t="str">
        <f t="shared" si="2"/>
        <v/>
      </c>
    </row>
    <row r="35" spans="1:18" ht="25.5" x14ac:dyDescent="0.25">
      <c r="A35" s="8" t="s">
        <v>111</v>
      </c>
      <c r="B35" s="9">
        <v>3</v>
      </c>
      <c r="C35" s="9" t="s">
        <v>112</v>
      </c>
      <c r="D35" s="13" t="s">
        <v>71</v>
      </c>
      <c r="E35" s="9" t="s">
        <v>109</v>
      </c>
      <c r="F35" s="9"/>
      <c r="G35" s="9" t="s">
        <v>48</v>
      </c>
      <c r="H35" s="9" t="str">
        <f>INDEX(Models!$C$26:$C$28,MATCH(D35,Models!$A$26:$A$28,0))</f>
        <v>Claude Fable 5.1 or Opus 5.5</v>
      </c>
      <c r="I35" s="9" t="str">
        <f>INDEX(Models!$D$26:$D$28,MATCH(D35,Models!$A$26:$A$28,0))</f>
        <v>Not allowed (owner decision)</v>
      </c>
      <c r="J35" s="11" t="str">
        <f>IFERROR(IF(INDEX(StatusData!$B:$B,MATCH($A35,StatusData!$A:$A,0))="","Not started",""&amp;INDEX(StatusData!$B:$B,MATCH($A35,StatusData!$A:$A,0))),"Not started")</f>
        <v>Done</v>
      </c>
      <c r="K35" s="9" t="str">
        <f t="shared" si="0"/>
        <v>Done</v>
      </c>
      <c r="L35" s="9">
        <f t="shared" si="1"/>
        <v>0</v>
      </c>
      <c r="M35" s="11" t="str">
        <f>IFERROR(""&amp;INDEX(StatusData!$C:$C,MATCH($A35,StatusData!$A:$A,0)),"")</f>
        <v>Claude Opus 5.5</v>
      </c>
      <c r="N35" s="9" t="str">
        <f>IF(M35="","",IFERROR(IF(INDEX(Models!$E$5:$G$19,MATCH(M35,Models!$A$5:$A$19,0),VALUE(RIGHT(D35,1)))="Yes","OK",IF(INDEX(Models!$E$5:$G$19,MATCH(M35,Models!$A$5:$A$19,0),VALUE(RIGHT(D35,1)))="Caution","Needs T3 review","NOT ALLOWED")),"Unknown model"))</f>
        <v>OK</v>
      </c>
      <c r="O35" s="11" t="str">
        <f>IFERROR(""&amp;INDEX(StatusData!$D:$D,MATCH($A35,StatusData!$A:$A,0)),"")</f>
        <v>Claude Opus 5.5</v>
      </c>
      <c r="P35" s="11" t="str">
        <f>IFERROR(""&amp;INDEX(StatusData!$E:$E,MATCH($A35,StatusData!$A:$A,0)),"")</f>
        <v>48c2335</v>
      </c>
      <c r="Q35" s="11" t="str">
        <f>IFERROR(""&amp;INDEX(StatusData!$F:$F,MATCH($A35,StatusData!$A:$A,0)),"")</f>
        <v>2026-09-25: New sync_apply.py apply engine (LWW, tombstones incl. newer re-create for natural keys, parking, admin sigs, natural-key + PAN merge sent as merge changes) + review fixes; 58 tests pass (2 fail only with uncommitted P3-6 resequence in tree); full suite 1421/16 known</v>
      </c>
      <c r="R35" s="9" t="str">
        <f t="shared" si="2"/>
        <v/>
      </c>
    </row>
    <row r="36" spans="1:18" ht="25.5" x14ac:dyDescent="0.25">
      <c r="A36" s="8" t="s">
        <v>113</v>
      </c>
      <c r="B36" s="9">
        <v>3</v>
      </c>
      <c r="C36" s="9" t="s">
        <v>114</v>
      </c>
      <c r="D36" s="13" t="s">
        <v>71</v>
      </c>
      <c r="E36" s="9" t="s">
        <v>115</v>
      </c>
      <c r="F36" s="9"/>
      <c r="G36" s="9" t="s">
        <v>48</v>
      </c>
      <c r="H36" s="9" t="str">
        <f>INDEX(Models!$C$26:$C$28,MATCH(D36,Models!$A$26:$A$28,0))</f>
        <v>Claude Fable 5.1 or Opus 5.5</v>
      </c>
      <c r="I36" s="9" t="str">
        <f>INDEX(Models!$D$26:$D$28,MATCH(D36,Models!$A$26:$A$28,0))</f>
        <v>Not allowed (owner decision)</v>
      </c>
      <c r="J36" s="11" t="str">
        <f>IFERROR(IF(INDEX(StatusData!$B:$B,MATCH($A36,StatusData!$A:$A,0))="","Not started",""&amp;INDEX(StatusData!$B:$B,MATCH($A36,StatusData!$A:$A,0))),"Not started")</f>
        <v>Done</v>
      </c>
      <c r="K36" s="9" t="str">
        <f t="shared" si="0"/>
        <v>Done</v>
      </c>
      <c r="L36" s="9">
        <f t="shared" si="1"/>
        <v>0</v>
      </c>
      <c r="M36" s="11" t="str">
        <f>IFERROR(""&amp;INDEX(StatusData!$C:$C,MATCH($A36,StatusData!$A:$A,0)),"")</f>
        <v>Claude Opus 5.5</v>
      </c>
      <c r="N36" s="9" t="str">
        <f>IF(M36="","",IFERROR(IF(INDEX(Models!$E$5:$G$19,MATCH(M36,Models!$A$5:$A$19,0),VALUE(RIGHT(D36,1)))="Yes","OK",IF(INDEX(Models!$E$5:$G$19,MATCH(M36,Models!$A$5:$A$19,0),VALUE(RIGHT(D36,1)))="Caution","Needs T3 review","NOT ALLOWED")),"Unknown model"))</f>
        <v>OK</v>
      </c>
      <c r="O36" s="11" t="str">
        <f>IFERROR(""&amp;INDEX(StatusData!$D:$D,MATCH($A36,StatusData!$A:$A,0)),"")</f>
        <v>Claude Opus 5.5</v>
      </c>
      <c r="P36" s="11" t="str">
        <f>IFERROR(""&amp;INDEX(StatusData!$E:$E,MATCH($A36,StatusData!$A:$A,0)),"")</f>
        <v>3fd8004</v>
      </c>
      <c r="Q36" s="11" t="str">
        <f>IFERROR(""&amp;INDEX(StatusData!$F:$F,MATCH($A36,StatusData!$A:$A,0)),"")</f>
        <v>2026-09-25: New sync_engine.py (HELLO/members/CHANGES+ACK/BYE, forwarding, poke, 20s scheduler) + harness wiring; P3-0 (a)-(f) pass; 29 new tests; full suite 1467 pass / 11 pre-existing fail</v>
      </c>
      <c r="R36" s="9" t="str">
        <f t="shared" si="2"/>
        <v/>
      </c>
    </row>
    <row r="37" spans="1:18" ht="25.5" x14ac:dyDescent="0.25">
      <c r="A37" s="8" t="s">
        <v>116</v>
      </c>
      <c r="B37" s="9">
        <v>3</v>
      </c>
      <c r="C37" s="9" t="s">
        <v>117</v>
      </c>
      <c r="D37" s="12" t="s">
        <v>47</v>
      </c>
      <c r="E37" s="9" t="s">
        <v>107</v>
      </c>
      <c r="F37" s="9"/>
      <c r="G37" s="9" t="s">
        <v>48</v>
      </c>
      <c r="H37" s="9" t="str">
        <f>INDEX(Models!$C$26:$C$28,MATCH(D37,Models!$A$26:$A$28,0))</f>
        <v>Claude Sonnet 5</v>
      </c>
      <c r="I37" s="9" t="str">
        <f>INDEX(Models!$D$26:$D$28,MATCH(D37,Models!$A$26:$A$28,0))</f>
        <v>Gemini 3.8 Flash, 3.1 Pro, 3.7 Flash (3.6 Flash / 3 Flash / 2.5 Pro only with review)</v>
      </c>
      <c r="J37" s="11" t="str">
        <f>IFERROR(IF(INDEX(StatusData!$B:$B,MATCH($A37,StatusData!$A:$A,0))="","Not started",""&amp;INDEX(StatusData!$B:$B,MATCH($A37,StatusData!$A:$A,0))),"Not started")</f>
        <v>Done</v>
      </c>
      <c r="K37" s="9" t="str">
        <f t="shared" si="0"/>
        <v>Done</v>
      </c>
      <c r="L37" s="9">
        <f t="shared" si="1"/>
        <v>0</v>
      </c>
      <c r="M37" s="11" t="str">
        <f>IFERROR(""&amp;INDEX(StatusData!$C:$C,MATCH($A37,StatusData!$A:$A,0)),"")</f>
        <v>Gemini 3.8 Flash</v>
      </c>
      <c r="N37" s="9" t="str">
        <f>IF(M37="","",IFERROR(IF(INDEX(Models!$E$5:$G$19,MATCH(M37,Models!$A$5:$A$19,0),VALUE(RIGHT(D37,1)))="Yes","OK",IF(INDEX(Models!$E$5:$G$19,MATCH(M37,Models!$A$5:$A$19,0),VALUE(RIGHT(D37,1)))="Caution","Needs T3 review","NOT ALLOWED")),"Unknown model"))</f>
        <v>OK</v>
      </c>
      <c r="O37" s="11" t="str">
        <f>IFERROR(""&amp;INDEX(StatusData!$D:$D,MATCH($A37,StatusData!$A:$A,0)),"")</f>
        <v>Claude Opus 5.5</v>
      </c>
      <c r="P37" s="11" t="str">
        <f>IFERROR(""&amp;INDEX(StatusData!$E:$E,MATCH($A37,StatusData!$A:$A,0)),"")</f>
        <v>27bfc64</v>
      </c>
      <c r="Q37" s="11" t="str">
        <f>IFERROR(""&amp;INDEX(StatusData!$F:$F,MATCH($A37,StatusData!$A:$A,0)),"")</f>
        <v>2026-09-25: Opus review fixes: gated apply resequence, hardened acceptance test; 295 sync tests pass, full suite 1432/17/3</v>
      </c>
      <c r="R37" s="9" t="str">
        <f t="shared" si="2"/>
        <v/>
      </c>
    </row>
    <row r="38" spans="1:18" ht="25.5" x14ac:dyDescent="0.25">
      <c r="A38" s="8" t="s">
        <v>118</v>
      </c>
      <c r="B38" s="9">
        <v>3</v>
      </c>
      <c r="C38" s="9" t="s">
        <v>119</v>
      </c>
      <c r="D38" s="12" t="s">
        <v>47</v>
      </c>
      <c r="E38" s="9" t="s">
        <v>113</v>
      </c>
      <c r="F38" s="9"/>
      <c r="G38" s="9" t="s">
        <v>48</v>
      </c>
      <c r="H38" s="9" t="str">
        <f>INDEX(Models!$C$26:$C$28,MATCH(D38,Models!$A$26:$A$28,0))</f>
        <v>Claude Sonnet 5</v>
      </c>
      <c r="I38" s="9" t="str">
        <f>INDEX(Models!$D$26:$D$28,MATCH(D38,Models!$A$26:$A$28,0))</f>
        <v>Gemini 3.8 Flash, 3.1 Pro, 3.7 Flash (3.6 Flash / 3 Flash / 2.5 Pro only with review)</v>
      </c>
      <c r="J38" s="11" t="str">
        <f>IFERROR(IF(INDEX(StatusData!$B:$B,MATCH($A38,StatusData!$A:$A,0))="","Not started",""&amp;INDEX(StatusData!$B:$B,MATCH($A38,StatusData!$A:$A,0))),"Not started")</f>
        <v>Done</v>
      </c>
      <c r="K38" s="9" t="str">
        <f t="shared" si="0"/>
        <v>Done</v>
      </c>
      <c r="L38" s="9">
        <f t="shared" si="1"/>
        <v>0</v>
      </c>
      <c r="M38" s="11" t="str">
        <f>IFERROR(""&amp;INDEX(StatusData!$C:$C,MATCH($A38,StatusData!$A:$A,0)),"")</f>
        <v>Claude Sonnet 5</v>
      </c>
      <c r="N38" s="9" t="str">
        <f>IF(M38="","",IFERROR(IF(INDEX(Models!$E$5:$G$19,MATCH(M38,Models!$A$5:$A$19,0),VALUE(RIGHT(D38,1)))="Yes","OK",IF(INDEX(Models!$E$5:$G$19,MATCH(M38,Models!$A$5:$A$19,0),VALUE(RIGHT(D38,1)))="Caution","Needs T3 review","NOT ALLOWED")),"Unknown model"))</f>
        <v>OK</v>
      </c>
      <c r="O38" s="11" t="str">
        <f>IFERROR(""&amp;INDEX(StatusData!$D:$D,MATCH($A38,StatusData!$A:$A,0)),"")</f>
        <v>Claude Opus 5.5</v>
      </c>
      <c r="P38" s="11" t="str">
        <f>IFERROR(""&amp;INDEX(StatusData!$E:$E,MATCH($A38,StatusData!$A:$A,0)),"")</f>
        <v>a897eb5</v>
      </c>
      <c r="Q38" s="11" t="str">
        <f>IFERROR(""&amp;INDEX(StatusData!$F:$F,MATCH($A38,StatusData!$A:$A,0)),"")</f>
        <v>2026-09-25: 2026-09-25: review-fix round 1 (Opus): capture_check now replays only own-origin changes (was replaying forwarded remote copies too, failing on any PC that had received anything); enable_shadow_mode refuses when already on (silent permanent data loss). 2 new regression tests; 17 sync_shadow tests pass; full suite 1536 passed / 11 pre-existing failed / 3 skipped</v>
      </c>
      <c r="R38" s="9" t="str">
        <f t="shared" si="2"/>
        <v/>
      </c>
    </row>
    <row r="39" spans="1:18" x14ac:dyDescent="0.25">
      <c r="A39" s="8" t="s">
        <v>120</v>
      </c>
      <c r="B39" s="9">
        <v>3</v>
      </c>
      <c r="C39" s="9" t="s">
        <v>121</v>
      </c>
      <c r="D39" s="12" t="s">
        <v>47</v>
      </c>
      <c r="E39" s="9" t="s">
        <v>113</v>
      </c>
      <c r="F39" s="9"/>
      <c r="G39" s="9" t="s">
        <v>41</v>
      </c>
      <c r="H39" s="9" t="str">
        <f>INDEX(Models!$C$26:$C$28,MATCH(D39,Models!$A$26:$A$28,0))</f>
        <v>Claude Sonnet 5</v>
      </c>
      <c r="I39" s="9" t="str">
        <f>INDEX(Models!$D$26:$D$28,MATCH(D39,Models!$A$26:$A$28,0))</f>
        <v>Gemini 3.8 Flash, 3.1 Pro, 3.7 Flash (3.6 Flash / 3 Flash / 2.5 Pro only with review)</v>
      </c>
      <c r="J39" s="11" t="str">
        <f>IFERROR(IF(INDEX(StatusData!$B:$B,MATCH($A39,StatusData!$A:$A,0))="","Not started",""&amp;INDEX(StatusData!$B:$B,MATCH($A39,StatusData!$A:$A,0))),"Not started")</f>
        <v>Done</v>
      </c>
      <c r="K39" s="9" t="str">
        <f t="shared" si="0"/>
        <v>Done</v>
      </c>
      <c r="L39" s="9">
        <f t="shared" si="1"/>
        <v>0</v>
      </c>
      <c r="M39" s="11" t="str">
        <f>IFERROR(""&amp;INDEX(StatusData!$C:$C,MATCH($A39,StatusData!$A:$A,0)),"")</f>
        <v>Claude Sonnet 5</v>
      </c>
      <c r="N39" s="9" t="str">
        <f>IF(M39="","",IFERROR(IF(INDEX(Models!$E$5:$G$19,MATCH(M39,Models!$A$5:$A$19,0),VALUE(RIGHT(D39,1)))="Yes","OK",IF(INDEX(Models!$E$5:$G$19,MATCH(M39,Models!$A$5:$A$19,0),VALUE(RIGHT(D39,1)))="Caution","Needs T3 review","NOT ALLOWED")),"Unknown model"))</f>
        <v>OK</v>
      </c>
      <c r="O39" s="11" t="str">
        <f>IFERROR(""&amp;INDEX(StatusData!$D:$D,MATCH($A39,StatusData!$A:$A,0)),"")</f>
        <v>Claude Opus 5.5</v>
      </c>
      <c r="P39" s="11" t="str">
        <f>IFERROR(""&amp;INDEX(StatusData!$E:$E,MATCH($A39,StatusData!$A:$A,0)),"")</f>
        <v>a897eb5</v>
      </c>
      <c r="Q39" s="11" t="str">
        <f>IFERROR(""&amp;INDEX(StatusData!$F:$F,MATCH($A39,StatusData!$A:$A,0)),"")</f>
        <v>2026-09-25: 2026-09-25: Review fixes (Opus 5.5): use_discarded_value no longer deletes conflicts on no-op (kept for the deleted-row shape sync_apply.py actually produces, resurrection not built); wired the shadow-check timer (30min) + panel 'Run now' button that run_shadow_checks docstring asked P3-8 for; needs_update banner + stalled-streams count from peer_status()/stalled_streams(); UI refresh gated to mode live; last_ok prefers peer_status(); timer cancelled on quit; 'None' shown as '(deleted)'. 68 P3-8 tests pass; full suite 1549/11/3 (11 pre-existing).</v>
      </c>
      <c r="R39" s="9" t="str">
        <f t="shared" si="2"/>
        <v/>
      </c>
    </row>
    <row r="40" spans="1:18" ht="25.5" x14ac:dyDescent="0.25">
      <c r="A40" s="8" t="s">
        <v>122</v>
      </c>
      <c r="B40" s="9">
        <v>3</v>
      </c>
      <c r="C40" s="9" t="s">
        <v>123</v>
      </c>
      <c r="D40" s="12" t="s">
        <v>47</v>
      </c>
      <c r="E40" s="9" t="s">
        <v>118</v>
      </c>
      <c r="F40" s="9"/>
      <c r="G40" s="9" t="s">
        <v>48</v>
      </c>
      <c r="H40" s="9" t="str">
        <f>INDEX(Models!$C$26:$C$28,MATCH(D40,Models!$A$26:$A$28,0))</f>
        <v>Claude Sonnet 5</v>
      </c>
      <c r="I40" s="9" t="str">
        <f>INDEX(Models!$D$26:$D$28,MATCH(D40,Models!$A$26:$A$28,0))</f>
        <v>Gemini 3.8 Flash, 3.1 Pro, 3.7 Flash (3.6 Flash / 3 Flash / 2.5 Pro only with review)</v>
      </c>
      <c r="J40" s="11" t="str">
        <f>IFERROR(IF(INDEX(StatusData!$B:$B,MATCH($A40,StatusData!$A:$A,0))="","Not started",""&amp;INDEX(StatusData!$B:$B,MATCH($A40,StatusData!$A:$A,0))),"Not started")</f>
        <v>Done</v>
      </c>
      <c r="K40" s="9" t="str">
        <f t="shared" si="0"/>
        <v>Done</v>
      </c>
      <c r="L40" s="9">
        <f t="shared" si="1"/>
        <v>0</v>
      </c>
      <c r="M40" s="11" t="str">
        <f>IFERROR(""&amp;INDEX(StatusData!$C:$C,MATCH($A40,StatusData!$A:$A,0)),"")</f>
        <v>Claude Sonnet 5</v>
      </c>
      <c r="N40" s="9" t="str">
        <f>IF(M40="","",IFERROR(IF(INDEX(Models!$E$5:$G$19,MATCH(M40,Models!$A$5:$A$19,0),VALUE(RIGHT(D40,1)))="Yes","OK",IF(INDEX(Models!$E$5:$G$19,MATCH(M40,Models!$A$5:$A$19,0),VALUE(RIGHT(D40,1)))="Caution","Needs T3 review","NOT ALLOWED")),"Unknown model"))</f>
        <v>OK</v>
      </c>
      <c r="O40" s="11" t="str">
        <f>IFERROR(""&amp;INDEX(StatusData!$D:$D,MATCH($A40,StatusData!$A:$A,0)),"")</f>
        <v>Claude Opus 5.5</v>
      </c>
      <c r="P40" s="11" t="str">
        <f>IFERROR(""&amp;INDEX(StatusData!$E:$E,MATCH($A40,StatusData!$A:$A,0)),"")</f>
        <v>c3f91c5</v>
      </c>
      <c r="Q40" s="11" t="str">
        <f>IFERROR(""&amp;INDEX(StatusData!$F:$F,MATCH($A40,StatusData!$A:$A,0)),"")</f>
        <v>2026-09-26: Review fixes applied (all 5 non-blocking findings from both Opus 5.5 review passes): 'vectors moved'-&gt;'vectors differ' wording; malformed digest_reply now logged as skipped instead of silently ignored; _last_local_change_at no longer stamped by a remote-driven merge (_wake_poke_sender split out); at most one digest_request answered per session (extras get busy); fixed test spy that sat on the wrong side. tests/test_sync_digest_exchange.py now 10 tests, all pass. Full suite: 1604 passed / 11 failed / 3 skipped -- the standard pre-existing set only, zero new failures.</v>
      </c>
      <c r="R40" s="9" t="str">
        <f t="shared" si="2"/>
        <v/>
      </c>
    </row>
    <row r="41" spans="1:18" ht="25.5" x14ac:dyDescent="0.25">
      <c r="A41" s="8" t="s">
        <v>124</v>
      </c>
      <c r="B41" s="9">
        <v>3</v>
      </c>
      <c r="C41" s="9" t="s">
        <v>125</v>
      </c>
      <c r="D41" s="13" t="s">
        <v>71</v>
      </c>
      <c r="E41" s="9" t="s">
        <v>118</v>
      </c>
      <c r="F41" s="9"/>
      <c r="G41" s="9" t="s">
        <v>48</v>
      </c>
      <c r="H41" s="9" t="str">
        <f>INDEX(Models!$C$26:$C$28,MATCH(D41,Models!$A$26:$A$28,0))</f>
        <v>Claude Fable 5.1 or Opus 5.5</v>
      </c>
      <c r="I41" s="9" t="str">
        <f>INDEX(Models!$D$26:$D$28,MATCH(D41,Models!$A$26:$A$28,0))</f>
        <v>Not allowed (owner decision)</v>
      </c>
      <c r="J41" s="11" t="str">
        <f>IFERROR(IF(INDEX(StatusData!$B:$B,MATCH($A41,StatusData!$A:$A,0))="","Not started",""&amp;INDEX(StatusData!$B:$B,MATCH($A41,StatusData!$A:$A,0))),"Not started")</f>
        <v>Done</v>
      </c>
      <c r="K41" s="9" t="str">
        <f t="shared" si="0"/>
        <v>Done</v>
      </c>
      <c r="L41" s="9">
        <f t="shared" si="1"/>
        <v>0</v>
      </c>
      <c r="M41" s="11" t="str">
        <f>IFERROR(""&amp;INDEX(StatusData!$C:$C,MATCH($A41,StatusData!$A:$A,0)),"")</f>
        <v>Claude Opus 5.5</v>
      </c>
      <c r="N41" s="9" t="str">
        <f>IF(M41="","",IFERROR(IF(INDEX(Models!$E$5:$G$19,MATCH(M41,Models!$A$5:$A$19,0),VALUE(RIGHT(D41,1)))="Yes","OK",IF(INDEX(Models!$E$5:$G$19,MATCH(M41,Models!$A$5:$A$19,0),VALUE(RIGHT(D41,1)))="Caution","Needs T3 review","NOT ALLOWED")),"Unknown model"))</f>
        <v>OK</v>
      </c>
      <c r="O41" s="11" t="str">
        <f>IFERROR(""&amp;INDEX(StatusData!$D:$D,MATCH($A41,StatusData!$A:$A,0)),"")</f>
        <v>Claude Opus 5.5</v>
      </c>
      <c r="P41" s="11" t="str">
        <f>IFERROR(""&amp;INDEX(StatusData!$E:$E,MATCH($A41,StatusData!$A:$A,0)),"")</f>
        <v>c522654</v>
      </c>
      <c r="Q41" s="11" t="str">
        <f>IFERROR(""&amp;INDEX(StatusData!$F:$F,MATCH($A41,StatusData!$A:$A,0)),"")</f>
        <v>2026-09-26: Review fixes: own changes carried over at swap (no seq gap after Reset-&gt;Start), admin Reset refused after receiving, journaled swap with crash recovery, raw required, admin identity checked; 7 new tests; full suite 1611 passed / 11 pre-existing failed / 3 skipped</v>
      </c>
      <c r="R41" s="9" t="str">
        <f t="shared" si="2"/>
        <v/>
      </c>
    </row>
    <row r="42" spans="1:18" ht="25.5" x14ac:dyDescent="0.25">
      <c r="A42" s="8" t="s">
        <v>126</v>
      </c>
      <c r="B42" s="9">
        <v>3</v>
      </c>
      <c r="C42" s="9" t="s">
        <v>127</v>
      </c>
      <c r="D42" s="12" t="s">
        <v>47</v>
      </c>
      <c r="E42" s="9" t="s">
        <v>120</v>
      </c>
      <c r="F42" s="9"/>
      <c r="G42" s="9" t="s">
        <v>41</v>
      </c>
      <c r="H42" s="9" t="str">
        <f>INDEX(Models!$C$26:$C$28,MATCH(D42,Models!$A$26:$A$28,0))</f>
        <v>Claude Sonnet 5</v>
      </c>
      <c r="I42" s="9" t="str">
        <f>INDEX(Models!$D$26:$D$28,MATCH(D42,Models!$A$26:$A$28,0))</f>
        <v>Gemini 3.8 Flash, 3.1 Pro, 3.7 Flash (3.6 Flash / 3 Flash / 2.5 Pro only with review)</v>
      </c>
      <c r="J42" s="11" t="str">
        <f>IFERROR(IF(INDEX(StatusData!$B:$B,MATCH($A42,StatusData!$A:$A,0))="","Not started",""&amp;INDEX(StatusData!$B:$B,MATCH($A42,StatusData!$A:$A,0))),"Not started")</f>
        <v>Done</v>
      </c>
      <c r="K42" s="9" t="str">
        <f t="shared" si="0"/>
        <v>Done</v>
      </c>
      <c r="L42" s="9">
        <f t="shared" si="1"/>
        <v>0</v>
      </c>
      <c r="M42" s="11" t="str">
        <f>IFERROR(""&amp;INDEX(StatusData!$C:$C,MATCH($A42,StatusData!$A:$A,0)),"")</f>
        <v>Gemini 3.7 Flash</v>
      </c>
      <c r="N42" s="9" t="str">
        <f>IF(M42="","",IFERROR(IF(INDEX(Models!$E$5:$G$19,MATCH(M42,Models!$A$5:$A$19,0),VALUE(RIGHT(D42,1)))="Yes","OK",IF(INDEX(Models!$E$5:$G$19,MATCH(M42,Models!$A$5:$A$19,0),VALUE(RIGHT(D42,1)))="Caution","Needs T3 review","NOT ALLOWED")),"Unknown model"))</f>
        <v>OK</v>
      </c>
      <c r="O42" s="11" t="str">
        <f>IFERROR(""&amp;INDEX(StatusData!$D:$D,MATCH($A42,StatusData!$A:$A,0)),"")</f>
        <v>Claude Opus 5.5</v>
      </c>
      <c r="P42" s="11" t="str">
        <f>IFERROR(""&amp;INDEX(StatusData!$E:$E,MATCH($A42,StatusData!$A:$A,0)),"")</f>
        <v>1943770</v>
      </c>
      <c r="Q42" s="11" t="str">
        <f>IFERROR(""&amp;INDEX(StatusData!$F:$F,MATCH($A42,StatusData!$A:$A,0)),"")</f>
        <v>2026-09-26: Coalesced clock-ahead events &amp; rate-limited log, replica parked-change age &amp; warnings, shadow-only seal timing logger; 85 passed in sync suite</v>
      </c>
      <c r="R42" s="9" t="str">
        <f t="shared" si="2"/>
        <v/>
      </c>
    </row>
    <row r="43" spans="1:18" ht="25.5" x14ac:dyDescent="0.25">
      <c r="A43" s="8" t="s">
        <v>128</v>
      </c>
      <c r="B43" s="9">
        <v>3</v>
      </c>
      <c r="C43" s="9" t="s">
        <v>129</v>
      </c>
      <c r="D43" s="12" t="s">
        <v>47</v>
      </c>
      <c r="E43" s="9" t="s">
        <v>120</v>
      </c>
      <c r="F43" s="9"/>
      <c r="G43" s="9" t="s">
        <v>41</v>
      </c>
      <c r="H43" s="9" t="str">
        <f>INDEX(Models!$C$26:$C$28,MATCH(D43,Models!$A$26:$A$28,0))</f>
        <v>Claude Sonnet 5</v>
      </c>
      <c r="I43" s="9" t="str">
        <f>INDEX(Models!$D$26:$D$28,MATCH(D43,Models!$A$26:$A$28,0))</f>
        <v>Gemini 3.8 Flash, 3.1 Pro, 3.7 Flash (3.6 Flash / 3 Flash / 2.5 Pro only with review)</v>
      </c>
      <c r="J43" s="11" t="str">
        <f>IFERROR(IF(INDEX(StatusData!$B:$B,MATCH($A43,StatusData!$A:$A,0))="","Not started",""&amp;INDEX(StatusData!$B:$B,MATCH($A43,StatusData!$A:$A,0))),"Not started")</f>
        <v>Done</v>
      </c>
      <c r="K43" s="9" t="str">
        <f t="shared" si="0"/>
        <v>Done</v>
      </c>
      <c r="L43" s="9">
        <f t="shared" si="1"/>
        <v>0</v>
      </c>
      <c r="M43" s="11" t="str">
        <f>IFERROR(""&amp;INDEX(StatusData!$C:$C,MATCH($A43,StatusData!$A:$A,0)),"")</f>
        <v>Claude Sonnet 5</v>
      </c>
      <c r="N43" s="9" t="str">
        <f>IF(M43="","",IFERROR(IF(INDEX(Models!$E$5:$G$19,MATCH(M43,Models!$A$5:$A$19,0),VALUE(RIGHT(D43,1)))="Yes","OK",IF(INDEX(Models!$E$5:$G$19,MATCH(M43,Models!$A$5:$A$19,0),VALUE(RIGHT(D43,1)))="Caution","Needs T3 review","NOT ALLOWED")),"Unknown model"))</f>
        <v>OK</v>
      </c>
      <c r="O43" s="11" t="str">
        <f>IFERROR(""&amp;INDEX(StatusData!$D:$D,MATCH($A43,StatusData!$A:$A,0)),"")</f>
        <v>Claude Opus 5.5</v>
      </c>
      <c r="P43" s="11" t="str">
        <f>IFERROR(""&amp;INDEX(StatusData!$E:$E,MATCH($A43,StatusData!$A:$A,0)),"")</f>
        <v>1943770 (dialog fixes + 3 tests); ff87571 (remaining tests + review fixes)</v>
      </c>
      <c r="Q43" s="11" t="str">
        <f>IFERROR(""&amp;INDEX(StatusData!$F:$F,MATCH($A43,StatusData!$A:$A,0)),"")</f>
        <v>2026-09-26: Run-now gated to mode shadow, conflict selection by (db,id), stamps unified, late-emit guard; 1616 passed/11 failed(pre-existing)/3 skipped
2026-09-26: 2026-09-26: reviewed by Claude Opus 5.5, no blocking findings; 4 non-blocking findings fixed (selection-clear gap, weak sort test, timing-flaky test, UTC-vs-local flagged for owner)
2026-09-26: 2026-09-26: full suite after review fixes: 1617 passed/11 failed(pre-existing)/3 skipped</v>
      </c>
      <c r="R43" s="9" t="str">
        <f t="shared" si="2"/>
        <v/>
      </c>
    </row>
    <row r="44" spans="1:18" ht="25.5" x14ac:dyDescent="0.25">
      <c r="A44" s="8" t="s">
        <v>130</v>
      </c>
      <c r="B44" s="9">
        <v>3</v>
      </c>
      <c r="C44" s="9" t="s">
        <v>131</v>
      </c>
      <c r="D44" s="12" t="s">
        <v>47</v>
      </c>
      <c r="E44" s="9" t="s">
        <v>132</v>
      </c>
      <c r="F44" s="9" t="s">
        <v>133</v>
      </c>
      <c r="G44" s="9" t="s">
        <v>134</v>
      </c>
      <c r="H44" s="9" t="str">
        <f>INDEX(Models!$C$26:$C$28,MATCH(D44,Models!$A$26:$A$28,0))</f>
        <v>Claude Sonnet 5</v>
      </c>
      <c r="I44" s="9" t="str">
        <f>INDEX(Models!$D$26:$D$28,MATCH(D44,Models!$A$26:$A$28,0))</f>
        <v>Gemini 3.8 Flash, 3.1 Pro, 3.7 Flash (3.6 Flash / 3 Flash / 2.5 Pro only with review)</v>
      </c>
      <c r="J44" s="11" t="str">
        <f>IFERROR(IF(INDEX(StatusData!$B:$B,MATCH($A44,StatusData!$A:$A,0))="","Not started",""&amp;INDEX(StatusData!$B:$B,MATCH($A44,StatusData!$A:$A,0))),"Not started")</f>
        <v>Not started</v>
      </c>
      <c r="K44" s="9" t="str">
        <f t="shared" si="0"/>
        <v>Ready</v>
      </c>
      <c r="L44" s="9">
        <f t="shared" si="1"/>
        <v>0</v>
      </c>
      <c r="M44" s="11" t="str">
        <f>IFERROR(""&amp;INDEX(StatusData!$C:$C,MATCH($A44,StatusData!$A:$A,0)),"")</f>
        <v/>
      </c>
      <c r="N44" s="9" t="str">
        <f>IF(M44="","",IFERROR(IF(INDEX(Models!$E$5:$G$19,MATCH(M44,Models!$A$5:$A$19,0),VALUE(RIGHT(D44,1)))="Yes","OK",IF(INDEX(Models!$E$5:$G$19,MATCH(M44,Models!$A$5:$A$19,0),VALUE(RIGHT(D44,1)))="Caution","Needs T3 review","NOT ALLOWED")),"Unknown model"))</f>
        <v/>
      </c>
      <c r="O44" s="11" t="str">
        <f>IFERROR(""&amp;INDEX(StatusData!$D:$D,MATCH($A44,StatusData!$A:$A,0)),"")</f>
        <v/>
      </c>
      <c r="P44" s="11" t="str">
        <f>IFERROR(""&amp;INDEX(StatusData!$E:$E,MATCH($A44,StatusData!$A:$A,0)),"")</f>
        <v/>
      </c>
      <c r="Q44" s="11" t="str">
        <f>IFERROR(""&amp;INDEX(StatusData!$F:$F,MATCH($A44,StatusData!$A:$A,0)),"")</f>
        <v/>
      </c>
      <c r="R44" s="9">
        <f t="shared" si="2"/>
        <v>3</v>
      </c>
    </row>
    <row r="45" spans="1:18" ht="25.5" x14ac:dyDescent="0.25">
      <c r="A45" s="8" t="s">
        <v>135</v>
      </c>
      <c r="B45" s="9">
        <v>4</v>
      </c>
      <c r="C45" s="9" t="s">
        <v>136</v>
      </c>
      <c r="D45" s="12" t="s">
        <v>47</v>
      </c>
      <c r="E45" s="9" t="s">
        <v>130</v>
      </c>
      <c r="F45" s="9" t="s">
        <v>137</v>
      </c>
      <c r="G45" s="9" t="s">
        <v>41</v>
      </c>
      <c r="H45" s="9" t="str">
        <f>INDEX(Models!$C$26:$C$28,MATCH(D45,Models!$A$26:$A$28,0))</f>
        <v>Claude Sonnet 5</v>
      </c>
      <c r="I45" s="9" t="str">
        <f>INDEX(Models!$D$26:$D$28,MATCH(D45,Models!$A$26:$A$28,0))</f>
        <v>Gemini 3.8 Flash, 3.1 Pro, 3.7 Flash (3.6 Flash / 3 Flash / 2.5 Pro only with review)</v>
      </c>
      <c r="J45" s="11" t="str">
        <f>IFERROR(IF(INDEX(StatusData!$B:$B,MATCH($A45,StatusData!$A:$A,0))="","Not started",""&amp;INDEX(StatusData!$B:$B,MATCH($A45,StatusData!$A:$A,0))),"Not started")</f>
        <v>Not started</v>
      </c>
      <c r="K45" s="9" t="str">
        <f t="shared" si="0"/>
        <v>Waiting on 1</v>
      </c>
      <c r="L45" s="9">
        <f t="shared" si="1"/>
        <v>1</v>
      </c>
      <c r="M45" s="11" t="str">
        <f>IFERROR(""&amp;INDEX(StatusData!$C:$C,MATCH($A45,StatusData!$A:$A,0)),"")</f>
        <v/>
      </c>
      <c r="N45" s="9" t="str">
        <f>IF(M45="","",IFERROR(IF(INDEX(Models!$E$5:$G$19,MATCH(M45,Models!$A$5:$A$19,0),VALUE(RIGHT(D45,1)))="Yes","OK",IF(INDEX(Models!$E$5:$G$19,MATCH(M45,Models!$A$5:$A$19,0),VALUE(RIGHT(D45,1)))="Caution","Needs T3 review","NOT ALLOWED")),"Unknown model"))</f>
        <v/>
      </c>
      <c r="O45" s="11" t="str">
        <f>IFERROR(""&amp;INDEX(StatusData!$D:$D,MATCH($A45,StatusData!$A:$A,0)),"")</f>
        <v/>
      </c>
      <c r="P45" s="11" t="str">
        <f>IFERROR(""&amp;INDEX(StatusData!$E:$E,MATCH($A45,StatusData!$A:$A,0)),"")</f>
        <v/>
      </c>
      <c r="Q45" s="11" t="str">
        <f>IFERROR(""&amp;INDEX(StatusData!$F:$F,MATCH($A45,StatusData!$A:$A,0)),"")</f>
        <v/>
      </c>
      <c r="R45" s="9" t="str">
        <f t="shared" si="2"/>
        <v/>
      </c>
    </row>
    <row r="46" spans="1:18" ht="25.5" x14ac:dyDescent="0.25">
      <c r="A46" s="8" t="s">
        <v>138</v>
      </c>
      <c r="B46" s="9">
        <v>4</v>
      </c>
      <c r="C46" s="9" t="s">
        <v>139</v>
      </c>
      <c r="D46" s="12" t="s">
        <v>47</v>
      </c>
      <c r="E46" s="9" t="s">
        <v>135</v>
      </c>
      <c r="F46" s="9"/>
      <c r="G46" s="9" t="s">
        <v>41</v>
      </c>
      <c r="H46" s="9" t="str">
        <f>INDEX(Models!$C$26:$C$28,MATCH(D46,Models!$A$26:$A$28,0))</f>
        <v>Claude Sonnet 5</v>
      </c>
      <c r="I46" s="9" t="str">
        <f>INDEX(Models!$D$26:$D$28,MATCH(D46,Models!$A$26:$A$28,0))</f>
        <v>Gemini 3.8 Flash, 3.1 Pro, 3.7 Flash (3.6 Flash / 3 Flash / 2.5 Pro only with review)</v>
      </c>
      <c r="J46" s="11" t="str">
        <f>IFERROR(IF(INDEX(StatusData!$B:$B,MATCH($A46,StatusData!$A:$A,0))="","Not started",""&amp;INDEX(StatusData!$B:$B,MATCH($A46,StatusData!$A:$A,0))),"Not started")</f>
        <v>Not started</v>
      </c>
      <c r="K46" s="9" t="str">
        <f t="shared" si="0"/>
        <v>Waiting on 1</v>
      </c>
      <c r="L46" s="9">
        <f t="shared" si="1"/>
        <v>1</v>
      </c>
      <c r="M46" s="11" t="str">
        <f>IFERROR(""&amp;INDEX(StatusData!$C:$C,MATCH($A46,StatusData!$A:$A,0)),"")</f>
        <v/>
      </c>
      <c r="N46" s="9" t="str">
        <f>IF(M46="","",IFERROR(IF(INDEX(Models!$E$5:$G$19,MATCH(M46,Models!$A$5:$A$19,0),VALUE(RIGHT(D46,1)))="Yes","OK",IF(INDEX(Models!$E$5:$G$19,MATCH(M46,Models!$A$5:$A$19,0),VALUE(RIGHT(D46,1)))="Caution","Needs T3 review","NOT ALLOWED")),"Unknown model"))</f>
        <v/>
      </c>
      <c r="O46" s="11" t="str">
        <f>IFERROR(""&amp;INDEX(StatusData!$D:$D,MATCH($A46,StatusData!$A:$A,0)),"")</f>
        <v/>
      </c>
      <c r="P46" s="11" t="str">
        <f>IFERROR(""&amp;INDEX(StatusData!$E:$E,MATCH($A46,StatusData!$A:$A,0)),"")</f>
        <v/>
      </c>
      <c r="Q46" s="11" t="str">
        <f>IFERROR(""&amp;INDEX(StatusData!$F:$F,MATCH($A46,StatusData!$A:$A,0)),"")</f>
        <v/>
      </c>
      <c r="R46" s="9" t="str">
        <f t="shared" si="2"/>
        <v/>
      </c>
    </row>
    <row r="47" spans="1:18" x14ac:dyDescent="0.25">
      <c r="A47" s="8" t="s">
        <v>140</v>
      </c>
      <c r="B47" s="9">
        <v>4</v>
      </c>
      <c r="C47" s="9" t="s">
        <v>141</v>
      </c>
      <c r="D47" s="12" t="s">
        <v>47</v>
      </c>
      <c r="E47" s="9" t="s">
        <v>74</v>
      </c>
      <c r="F47" s="9"/>
      <c r="G47" s="9" t="s">
        <v>41</v>
      </c>
      <c r="H47" s="9" t="str">
        <f>INDEX(Models!$C$26:$C$28,MATCH(D47,Models!$A$26:$A$28,0))</f>
        <v>Claude Sonnet 5</v>
      </c>
      <c r="I47" s="9" t="str">
        <f>INDEX(Models!$D$26:$D$28,MATCH(D47,Models!$A$26:$A$28,0))</f>
        <v>Gemini 3.8 Flash, 3.1 Pro, 3.7 Flash (3.6 Flash / 3 Flash / 2.5 Pro only with review)</v>
      </c>
      <c r="J47" s="11" t="str">
        <f>IFERROR(IF(INDEX(StatusData!$B:$B,MATCH($A47,StatusData!$A:$A,0))="","Not started",""&amp;INDEX(StatusData!$B:$B,MATCH($A47,StatusData!$A:$A,0))),"Not started")</f>
        <v>Done</v>
      </c>
      <c r="K47" s="9" t="str">
        <f t="shared" si="0"/>
        <v>Done</v>
      </c>
      <c r="L47" s="9">
        <f t="shared" si="1"/>
        <v>0</v>
      </c>
      <c r="M47" s="11" t="str">
        <f>IFERROR(""&amp;INDEX(StatusData!$C:$C,MATCH($A47,StatusData!$A:$A,0)),"")</f>
        <v>Gemini 3.8 Flash</v>
      </c>
      <c r="N47" s="9" t="str">
        <f>IF(M47="","",IFERROR(IF(INDEX(Models!$E$5:$G$19,MATCH(M47,Models!$A$5:$A$19,0),VALUE(RIGHT(D47,1)))="Yes","OK",IF(INDEX(Models!$E$5:$G$19,MATCH(M47,Models!$A$5:$A$19,0),VALUE(RIGHT(D47,1)))="Caution","Needs T3 review","NOT ALLOWED")),"Unknown model"))</f>
        <v>OK</v>
      </c>
      <c r="O47" s="11" t="str">
        <f>IFERROR(""&amp;INDEX(StatusData!$D:$D,MATCH($A47,StatusData!$A:$A,0)),"")</f>
        <v/>
      </c>
      <c r="P47" s="11" t="str">
        <f>IFERROR(""&amp;INDEX(StatusData!$E:$E,MATCH($A47,StatusData!$A:$A,0)),"")</f>
        <v>8f4d9c1</v>
      </c>
      <c r="Q47" s="11" t="str">
        <f>IFERROR(""&amp;INDEX(StatusData!$F:$F,MATCH($A47,StatusData!$A:$A,0)),"")</f>
        <v/>
      </c>
      <c r="R47" s="9" t="str">
        <f t="shared" si="2"/>
        <v/>
      </c>
    </row>
    <row r="48" spans="1:18" ht="25.5" x14ac:dyDescent="0.25">
      <c r="A48" s="8" t="s">
        <v>142</v>
      </c>
      <c r="B48" s="9">
        <v>4</v>
      </c>
      <c r="C48" s="9" t="s">
        <v>143</v>
      </c>
      <c r="D48" s="13" t="s">
        <v>71</v>
      </c>
      <c r="E48" s="9" t="s">
        <v>144</v>
      </c>
      <c r="F48" s="9"/>
      <c r="G48" s="9" t="s">
        <v>48</v>
      </c>
      <c r="H48" s="9" t="str">
        <f>INDEX(Models!$C$26:$C$28,MATCH(D48,Models!$A$26:$A$28,0))</f>
        <v>Claude Fable 5.1 or Opus 5.5</v>
      </c>
      <c r="I48" s="9" t="str">
        <f>INDEX(Models!$D$26:$D$28,MATCH(D48,Models!$A$26:$A$28,0))</f>
        <v>Not allowed (owner decision)</v>
      </c>
      <c r="J48" s="11" t="str">
        <f>IFERROR(IF(INDEX(StatusData!$B:$B,MATCH($A48,StatusData!$A:$A,0))="","Not started",""&amp;INDEX(StatusData!$B:$B,MATCH($A48,StatusData!$A:$A,0))),"Not started")</f>
        <v>Not started</v>
      </c>
      <c r="K48" s="9" t="str">
        <f t="shared" si="0"/>
        <v>Waiting on 1</v>
      </c>
      <c r="L48" s="9">
        <f t="shared" si="1"/>
        <v>1</v>
      </c>
      <c r="M48" s="11" t="str">
        <f>IFERROR(""&amp;INDEX(StatusData!$C:$C,MATCH($A48,StatusData!$A:$A,0)),"")</f>
        <v/>
      </c>
      <c r="N48" s="9" t="str">
        <f>IF(M48="","",IFERROR(IF(INDEX(Models!$E$5:$G$19,MATCH(M48,Models!$A$5:$A$19,0),VALUE(RIGHT(D48,1)))="Yes","OK",IF(INDEX(Models!$E$5:$G$19,MATCH(M48,Models!$A$5:$A$19,0),VALUE(RIGHT(D48,1)))="Caution","Needs T3 review","NOT ALLOWED")),"Unknown model"))</f>
        <v/>
      </c>
      <c r="O48" s="11" t="str">
        <f>IFERROR(""&amp;INDEX(StatusData!$D:$D,MATCH($A48,StatusData!$A:$A,0)),"")</f>
        <v/>
      </c>
      <c r="P48" s="11" t="str">
        <f>IFERROR(""&amp;INDEX(StatusData!$E:$E,MATCH($A48,StatusData!$A:$A,0)),"")</f>
        <v/>
      </c>
      <c r="Q48" s="11" t="str">
        <f>IFERROR(""&amp;INDEX(StatusData!$F:$F,MATCH($A48,StatusData!$A:$A,0)),"")</f>
        <v/>
      </c>
      <c r="R48" s="9" t="str">
        <f t="shared" si="2"/>
        <v/>
      </c>
    </row>
    <row r="49" spans="1:18" ht="25.5" x14ac:dyDescent="0.25">
      <c r="A49" s="8" t="s">
        <v>145</v>
      </c>
      <c r="B49" s="9">
        <v>4</v>
      </c>
      <c r="C49" s="9" t="s">
        <v>146</v>
      </c>
      <c r="D49" s="13" t="s">
        <v>71</v>
      </c>
      <c r="E49" s="9" t="s">
        <v>130</v>
      </c>
      <c r="F49" s="9"/>
      <c r="G49" s="9" t="s">
        <v>48</v>
      </c>
      <c r="H49" s="9" t="str">
        <f>INDEX(Models!$C$26:$C$28,MATCH(D49,Models!$A$26:$A$28,0))</f>
        <v>Claude Fable 5.1 or Opus 5.5</v>
      </c>
      <c r="I49" s="9" t="str">
        <f>INDEX(Models!$D$26:$D$28,MATCH(D49,Models!$A$26:$A$28,0))</f>
        <v>Not allowed (owner decision)</v>
      </c>
      <c r="J49" s="11" t="str">
        <f>IFERROR(IF(INDEX(StatusData!$B:$B,MATCH($A49,StatusData!$A:$A,0))="","Not started",""&amp;INDEX(StatusData!$B:$B,MATCH($A49,StatusData!$A:$A,0))),"Not started")</f>
        <v>Not started</v>
      </c>
      <c r="K49" s="9" t="str">
        <f t="shared" si="0"/>
        <v>Waiting on 1</v>
      </c>
      <c r="L49" s="9">
        <f t="shared" si="1"/>
        <v>1</v>
      </c>
      <c r="M49" s="11" t="str">
        <f>IFERROR(""&amp;INDEX(StatusData!$C:$C,MATCH($A49,StatusData!$A:$A,0)),"")</f>
        <v/>
      </c>
      <c r="N49" s="9" t="str">
        <f>IF(M49="","",IFERROR(IF(INDEX(Models!$E$5:$G$19,MATCH(M49,Models!$A$5:$A$19,0),VALUE(RIGHT(D49,1)))="Yes","OK",IF(INDEX(Models!$E$5:$G$19,MATCH(M49,Models!$A$5:$A$19,0),VALUE(RIGHT(D49,1)))="Caution","Needs T3 review","NOT ALLOWED")),"Unknown model"))</f>
        <v/>
      </c>
      <c r="O49" s="11" t="str">
        <f>IFERROR(""&amp;INDEX(StatusData!$D:$D,MATCH($A49,StatusData!$A:$A,0)),"")</f>
        <v/>
      </c>
      <c r="P49" s="11" t="str">
        <f>IFERROR(""&amp;INDEX(StatusData!$E:$E,MATCH($A49,StatusData!$A:$A,0)),"")</f>
        <v/>
      </c>
      <c r="Q49" s="11" t="str">
        <f>IFERROR(""&amp;INDEX(StatusData!$F:$F,MATCH($A49,StatusData!$A:$A,0)),"")</f>
        <v/>
      </c>
      <c r="R49" s="9" t="str">
        <f t="shared" si="2"/>
        <v/>
      </c>
    </row>
    <row r="50" spans="1:18" ht="25.5" x14ac:dyDescent="0.25">
      <c r="A50" s="8" t="s">
        <v>147</v>
      </c>
      <c r="B50" s="9">
        <v>4</v>
      </c>
      <c r="C50" s="9" t="s">
        <v>148</v>
      </c>
      <c r="D50" s="10" t="s">
        <v>40</v>
      </c>
      <c r="E50" s="9" t="s">
        <v>149</v>
      </c>
      <c r="F50" s="9"/>
      <c r="G50" s="9" t="s">
        <v>41</v>
      </c>
      <c r="H50" s="9" t="str">
        <f>INDEX(Models!$C$26:$C$28,MATCH(D50,Models!$A$26:$A$28,0))</f>
        <v>Claude Haiku 4.5</v>
      </c>
      <c r="I50" s="9" t="str">
        <f>INDEX(Models!$D$26:$D$28,MATCH(D50,Models!$A$26:$A$28,0))</f>
        <v>Any Gemini model on the Models sheet</v>
      </c>
      <c r="J50" s="11" t="str">
        <f>IFERROR(IF(INDEX(StatusData!$B:$B,MATCH($A50,StatusData!$A:$A,0))="","Not started",""&amp;INDEX(StatusData!$B:$B,MATCH($A50,StatusData!$A:$A,0))),"Not started")</f>
        <v>Not started</v>
      </c>
      <c r="K50" s="9" t="str">
        <f t="shared" si="0"/>
        <v>Waiting on 4</v>
      </c>
      <c r="L50" s="9">
        <f t="shared" si="1"/>
        <v>4</v>
      </c>
      <c r="M50" s="11" t="str">
        <f>IFERROR(""&amp;INDEX(StatusData!$C:$C,MATCH($A50,StatusData!$A:$A,0)),"")</f>
        <v/>
      </c>
      <c r="N50" s="9" t="str">
        <f>IF(M50="","",IFERROR(IF(INDEX(Models!$E$5:$G$19,MATCH(M50,Models!$A$5:$A$19,0),VALUE(RIGHT(D50,1)))="Yes","OK",IF(INDEX(Models!$E$5:$G$19,MATCH(M50,Models!$A$5:$A$19,0),VALUE(RIGHT(D50,1)))="Caution","Needs T3 review","NOT ALLOWED")),"Unknown model"))</f>
        <v/>
      </c>
      <c r="O50" s="11" t="str">
        <f>IFERROR(""&amp;INDEX(StatusData!$D:$D,MATCH($A50,StatusData!$A:$A,0)),"")</f>
        <v/>
      </c>
      <c r="P50" s="11" t="str">
        <f>IFERROR(""&amp;INDEX(StatusData!$E:$E,MATCH($A50,StatusData!$A:$A,0)),"")</f>
        <v/>
      </c>
      <c r="Q50" s="11" t="str">
        <f>IFERROR(""&amp;INDEX(StatusData!$F:$F,MATCH($A50,StatusData!$A:$A,0)),"")</f>
        <v/>
      </c>
      <c r="R50" s="9" t="str">
        <f t="shared" si="2"/>
        <v/>
      </c>
    </row>
  </sheetData>
  <autoFilter ref="A4:Q50" xr:uid="{00000000-0009-0000-0000-000001000000}"/>
  <conditionalFormatting sqref="A5:Q50">
    <cfRule type="expression" dxfId="11" priority="6">
      <formula>$J5="Blocked"</formula>
    </cfRule>
  </conditionalFormatting>
  <conditionalFormatting sqref="K5:K50">
    <cfRule type="expression" dxfId="10" priority="1">
      <formula>K5="Ready"</formula>
    </cfRule>
    <cfRule type="expression" dxfId="9" priority="2">
      <formula>K5="Done"</formula>
    </cfRule>
  </conditionalFormatting>
  <conditionalFormatting sqref="N5:N50">
    <cfRule type="expression" dxfId="8" priority="3">
      <formula>N5="NOT ALLOWED"</formula>
    </cfRule>
    <cfRule type="expression" dxfId="7" priority="4">
      <formula>N5="Needs T3 review"</formula>
    </cfRule>
    <cfRule type="expression" dxfId="6" priority="5">
      <formula>N5="OK"</formula>
    </cfRule>
  </conditionalFormatting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7"/>
  <sheetViews>
    <sheetView workbookViewId="0"/>
  </sheetViews>
  <sheetFormatPr defaultRowHeight="15" x14ac:dyDescent="0.25"/>
  <cols>
    <col min="1" max="1" width="7" customWidth="1"/>
    <col min="2" max="2" width="40" customWidth="1"/>
    <col min="3" max="4" width="7" customWidth="1"/>
    <col min="5" max="5" width="12" customWidth="1"/>
    <col min="6" max="7" width="9" customWidth="1"/>
    <col min="8" max="8" width="14" customWidth="1"/>
  </cols>
  <sheetData>
    <row r="1" spans="1:8" ht="18" x14ac:dyDescent="0.25">
      <c r="A1" s="5" t="s">
        <v>150</v>
      </c>
    </row>
    <row r="3" spans="1:8" ht="25.5" x14ac:dyDescent="0.25">
      <c r="A3" s="7" t="s">
        <v>21</v>
      </c>
      <c r="B3" s="7" t="s">
        <v>151</v>
      </c>
      <c r="C3" s="7" t="s">
        <v>152</v>
      </c>
      <c r="D3" s="7" t="s">
        <v>153</v>
      </c>
      <c r="E3" s="7" t="s">
        <v>154</v>
      </c>
      <c r="F3" s="7" t="s">
        <v>155</v>
      </c>
      <c r="G3" s="7" t="s">
        <v>156</v>
      </c>
      <c r="H3" s="7" t="s">
        <v>157</v>
      </c>
    </row>
    <row r="4" spans="1:8" x14ac:dyDescent="0.25">
      <c r="A4" s="8">
        <v>0</v>
      </c>
      <c r="B4" s="9" t="s">
        <v>158</v>
      </c>
      <c r="C4" s="9">
        <f>COUNTIFS('Work Packages'!$B$5:$B$50,A4)</f>
        <v>12</v>
      </c>
      <c r="D4" s="9">
        <f>COUNTIFS('Work Packages'!$B$5:$B$50,A4,'Work Packages'!$J$5:$J$50,"Done")</f>
        <v>12</v>
      </c>
      <c r="E4" s="9">
        <f>COUNTIFS('Work Packages'!$B$5:$B$50,A4,'Work Packages'!$J$5:$J$50,"In progress")+COUNTIFS('Work Packages'!$B$5:$B$50,A4,'Work Packages'!$J$5:$J$50,"In review")</f>
        <v>0</v>
      </c>
      <c r="F4" s="9">
        <f>COUNTIFS('Work Packages'!$B$5:$B$50,A4,'Work Packages'!$J$5:$J$50,"Blocked")</f>
        <v>0</v>
      </c>
      <c r="G4" s="14">
        <f t="shared" ref="G4:G9" si="0">IF(C4=0,0,D4/C4)</f>
        <v>1</v>
      </c>
      <c r="H4" s="9" t="str">
        <f>IFERROR(INDEX('Work Packages'!$A$5:$A$50,MATCH(A4,'Work Packages'!$R$5:$R$50,0)),"none")</f>
        <v>none</v>
      </c>
    </row>
    <row r="5" spans="1:8" x14ac:dyDescent="0.25">
      <c r="A5" s="8">
        <v>1</v>
      </c>
      <c r="B5" s="9" t="s">
        <v>159</v>
      </c>
      <c r="C5" s="9">
        <f>COUNTIFS('Work Packages'!$B$5:$B$50,A5)</f>
        <v>6</v>
      </c>
      <c r="D5" s="9">
        <f>COUNTIFS('Work Packages'!$B$5:$B$50,A5,'Work Packages'!$J$5:$J$50,"Done")</f>
        <v>6</v>
      </c>
      <c r="E5" s="9">
        <f>COUNTIFS('Work Packages'!$B$5:$B$50,A5,'Work Packages'!$J$5:$J$50,"In progress")+COUNTIFS('Work Packages'!$B$5:$B$50,A5,'Work Packages'!$J$5:$J$50,"In review")</f>
        <v>0</v>
      </c>
      <c r="F5" s="9">
        <f>COUNTIFS('Work Packages'!$B$5:$B$50,A5,'Work Packages'!$J$5:$J$50,"Blocked")</f>
        <v>0</v>
      </c>
      <c r="G5" s="14">
        <f t="shared" si="0"/>
        <v>1</v>
      </c>
      <c r="H5" s="9" t="str">
        <f>IFERROR(INDEX('Work Packages'!$A$5:$A$50,MATCH(A5,'Work Packages'!$R$5:$R$50,0)),"none")</f>
        <v>none</v>
      </c>
    </row>
    <row r="6" spans="1:8" x14ac:dyDescent="0.25">
      <c r="A6" s="8">
        <v>2</v>
      </c>
      <c r="B6" s="9" t="s">
        <v>160</v>
      </c>
      <c r="C6" s="9">
        <f>COUNTIFS('Work Packages'!$B$5:$B$50,A6)</f>
        <v>8</v>
      </c>
      <c r="D6" s="9">
        <f>COUNTIFS('Work Packages'!$B$5:$B$50,A6,'Work Packages'!$J$5:$J$50,"Done")</f>
        <v>8</v>
      </c>
      <c r="E6" s="9">
        <f>COUNTIFS('Work Packages'!$B$5:$B$50,A6,'Work Packages'!$J$5:$J$50,"In progress")+COUNTIFS('Work Packages'!$B$5:$B$50,A6,'Work Packages'!$J$5:$J$50,"In review")</f>
        <v>0</v>
      </c>
      <c r="F6" s="9">
        <f>COUNTIFS('Work Packages'!$B$5:$B$50,A6,'Work Packages'!$J$5:$J$50,"Blocked")</f>
        <v>0</v>
      </c>
      <c r="G6" s="14">
        <f t="shared" si="0"/>
        <v>1</v>
      </c>
      <c r="H6" s="9" t="str">
        <f>IFERROR(INDEX('Work Packages'!$A$5:$A$50,MATCH(A6,'Work Packages'!$R$5:$R$50,0)),"none")</f>
        <v>none</v>
      </c>
    </row>
    <row r="7" spans="1:8" x14ac:dyDescent="0.25">
      <c r="A7" s="8">
        <v>3</v>
      </c>
      <c r="B7" s="9" t="s">
        <v>161</v>
      </c>
      <c r="C7" s="9">
        <f>COUNTIFS('Work Packages'!$B$5:$B$50,A7)</f>
        <v>14</v>
      </c>
      <c r="D7" s="9">
        <f>COUNTIFS('Work Packages'!$B$5:$B$50,A7,'Work Packages'!$J$5:$J$50,"Done")</f>
        <v>13</v>
      </c>
      <c r="E7" s="9">
        <f>COUNTIFS('Work Packages'!$B$5:$B$50,A7,'Work Packages'!$J$5:$J$50,"In progress")+COUNTIFS('Work Packages'!$B$5:$B$50,A7,'Work Packages'!$J$5:$J$50,"In review")</f>
        <v>0</v>
      </c>
      <c r="F7" s="9">
        <f>COUNTIFS('Work Packages'!$B$5:$B$50,A7,'Work Packages'!$J$5:$J$50,"Blocked")</f>
        <v>0</v>
      </c>
      <c r="G7" s="14">
        <f t="shared" si="0"/>
        <v>0.9285714285714286</v>
      </c>
      <c r="H7" s="9" t="str">
        <f>IFERROR(INDEX('Work Packages'!$A$5:$A$50,MATCH(A7,'Work Packages'!$R$5:$R$50,0)),"none")</f>
        <v>P3-9</v>
      </c>
    </row>
    <row r="8" spans="1:8" x14ac:dyDescent="0.25">
      <c r="A8" s="8">
        <v>4</v>
      </c>
      <c r="B8" s="9" t="s">
        <v>162</v>
      </c>
      <c r="C8" s="9">
        <f>COUNTIFS('Work Packages'!$B$5:$B$50,A8)</f>
        <v>6</v>
      </c>
      <c r="D8" s="9">
        <f>COUNTIFS('Work Packages'!$B$5:$B$50,A8,'Work Packages'!$J$5:$J$50,"Done")</f>
        <v>1</v>
      </c>
      <c r="E8" s="9">
        <f>COUNTIFS('Work Packages'!$B$5:$B$50,A8,'Work Packages'!$J$5:$J$50,"In progress")+COUNTIFS('Work Packages'!$B$5:$B$50,A8,'Work Packages'!$J$5:$J$50,"In review")</f>
        <v>0</v>
      </c>
      <c r="F8" s="9">
        <f>COUNTIFS('Work Packages'!$B$5:$B$50,A8,'Work Packages'!$J$5:$J$50,"Blocked")</f>
        <v>0</v>
      </c>
      <c r="G8" s="14">
        <f t="shared" si="0"/>
        <v>0.16666666666666666</v>
      </c>
      <c r="H8" s="9" t="str">
        <f>IFERROR(INDEX('Work Packages'!$A$5:$A$50,MATCH(A8,'Work Packages'!$R$5:$R$50,0)),"none")</f>
        <v>none</v>
      </c>
    </row>
    <row r="9" spans="1:8" x14ac:dyDescent="0.25">
      <c r="B9" s="15" t="s">
        <v>163</v>
      </c>
      <c r="C9" s="8">
        <f>SUM(C4:C8)</f>
        <v>46</v>
      </c>
      <c r="D9" s="8">
        <f>SUM(D4:D8)</f>
        <v>40</v>
      </c>
      <c r="E9" s="8">
        <f>SUM(E4:E8)</f>
        <v>0</v>
      </c>
      <c r="F9" s="8">
        <f>SUM(F4:F8)</f>
        <v>0</v>
      </c>
      <c r="G9" s="16">
        <f t="shared" si="0"/>
        <v>0.86956521739130432</v>
      </c>
    </row>
    <row r="11" spans="1:8" x14ac:dyDescent="0.25">
      <c r="A11" s="15" t="s">
        <v>164</v>
      </c>
    </row>
    <row r="12" spans="1:8" x14ac:dyDescent="0.25">
      <c r="A12" s="17" t="s">
        <v>23</v>
      </c>
      <c r="B12" s="17" t="s">
        <v>165</v>
      </c>
      <c r="C12" s="17" t="s">
        <v>152</v>
      </c>
      <c r="D12" s="17" t="s">
        <v>153</v>
      </c>
      <c r="E12" s="17" t="s">
        <v>166</v>
      </c>
    </row>
    <row r="13" spans="1:8" x14ac:dyDescent="0.25">
      <c r="A13" s="8" t="s">
        <v>40</v>
      </c>
      <c r="B13" s="9" t="s">
        <v>167</v>
      </c>
      <c r="C13" s="9">
        <f>COUNTIFS('Work Packages'!$D$5:$D$50,A13)</f>
        <v>7</v>
      </c>
      <c r="D13" s="9">
        <f>COUNTIFS('Work Packages'!$D$5:$D$50,A13,'Work Packages'!$J$5:$J$50,"Done")</f>
        <v>6</v>
      </c>
      <c r="E13" s="9">
        <f>COUNTIFS('Work Packages'!$D$5:$D$50,A13,'Work Packages'!$G$5:$G$50,"Yes*")</f>
        <v>0</v>
      </c>
    </row>
    <row r="14" spans="1:8" x14ac:dyDescent="0.25">
      <c r="A14" s="8" t="s">
        <v>47</v>
      </c>
      <c r="B14" s="9" t="s">
        <v>168</v>
      </c>
      <c r="C14" s="9">
        <f>COUNTIFS('Work Packages'!$D$5:$D$50,A14)</f>
        <v>27</v>
      </c>
      <c r="D14" s="9">
        <f>COUNTIFS('Work Packages'!$D$5:$D$50,A14,'Work Packages'!$J$5:$J$50,"Done")</f>
        <v>24</v>
      </c>
      <c r="E14" s="9">
        <f>COUNTIFS('Work Packages'!$D$5:$D$50,A14,'Work Packages'!$G$5:$G$50,"Yes*")</f>
        <v>12</v>
      </c>
    </row>
    <row r="15" spans="1:8" x14ac:dyDescent="0.25">
      <c r="A15" s="8" t="s">
        <v>71</v>
      </c>
      <c r="B15" s="9" t="s">
        <v>169</v>
      </c>
      <c r="C15" s="9">
        <f>COUNTIFS('Work Packages'!$D$5:$D$50,A15)</f>
        <v>12</v>
      </c>
      <c r="D15" s="9">
        <f>COUNTIFS('Work Packages'!$D$5:$D$50,A15,'Work Packages'!$J$5:$J$50,"Done")</f>
        <v>10</v>
      </c>
      <c r="E15" s="9">
        <f>COUNTIFS('Work Packages'!$D$5:$D$50,A15,'Work Packages'!$G$5:$G$50,"Yes*")</f>
        <v>12</v>
      </c>
    </row>
    <row r="17" spans="1:4" x14ac:dyDescent="0.25">
      <c r="A17" s="6" t="s">
        <v>170</v>
      </c>
      <c r="D17" s="6" t="str">
        <f>IFERROR(IF(_xlfn.AGGREGATE(14,6,--(0&amp;SUBSTITUTE(SUBSTITUTE(SUBSTITUTE(StatusData!$G$2:$G$500,"-","")," ",""),":","")),1)=0,"",TEXT(_xlfn.AGGREGATE(14,6,--(0&amp;SUBSTITUTE(SUBSTITUTE(SUBSTITUTE(StatusData!$G$2:$G$500,"-","")," ",""),":","")),1),"0000-00-00 00\:00")),"")</f>
        <v>2026-09-26 15:28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7"/>
  <sheetViews>
    <sheetView workbookViewId="0">
      <pane xSplit="2" ySplit="3" topLeftCell="C4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5" customWidth="1"/>
    <col min="2" max="2" width="7" customWidth="1"/>
    <col min="3" max="3" width="80" customWidth="1"/>
    <col min="4" max="4" width="12" customWidth="1"/>
    <col min="5" max="5" width="11" customWidth="1"/>
    <col min="6" max="6" width="12" customWidth="1"/>
    <col min="7" max="7" width="40" customWidth="1"/>
  </cols>
  <sheetData>
    <row r="1" spans="1:7" ht="18" x14ac:dyDescent="0.25">
      <c r="A1" s="5" t="s">
        <v>171</v>
      </c>
    </row>
    <row r="2" spans="1:7" x14ac:dyDescent="0.25">
      <c r="A2" s="6" t="s">
        <v>172</v>
      </c>
    </row>
    <row r="3" spans="1:7" x14ac:dyDescent="0.25">
      <c r="A3" s="7" t="s">
        <v>173</v>
      </c>
      <c r="B3" s="7" t="s">
        <v>21</v>
      </c>
      <c r="C3" s="7" t="s">
        <v>174</v>
      </c>
      <c r="D3" s="7" t="s">
        <v>175</v>
      </c>
      <c r="E3" s="7" t="s">
        <v>176</v>
      </c>
      <c r="F3" s="7" t="s">
        <v>177</v>
      </c>
      <c r="G3" s="7" t="s">
        <v>36</v>
      </c>
    </row>
    <row r="4" spans="1:7" x14ac:dyDescent="0.25">
      <c r="A4" s="9">
        <v>1</v>
      </c>
      <c r="B4" s="9">
        <v>0</v>
      </c>
      <c r="C4" s="9" t="s">
        <v>178</v>
      </c>
      <c r="D4" s="9" t="s">
        <v>60</v>
      </c>
      <c r="E4" s="11" t="str">
        <f>IFERROR(IF(INDEX(ChecksData!$B:$B,MATCH(""&amp;$A4,ChecksData!$A:$A,0))="","Not run",""&amp;INDEX(ChecksData!$B:$B,MATCH(""&amp;$A4,ChecksData!$A:$A,0))),"Not run")</f>
        <v>Pass</v>
      </c>
      <c r="F4" s="11" t="str">
        <f>IFERROR(""&amp;INDEX(ChecksData!$C:$C,MATCH(""&amp;$A4,ChecksData!$A:$A,0)),"")</f>
        <v>2026-09-26</v>
      </c>
      <c r="G4" s="11" t="str">
        <f>IFERROR(""&amp;INDEX(ChecksData!$D:$D,MATCH(""&amp;$A4,ChecksData!$A:$A,0)),"")</f>
        <v>Reported by owner 2026-09-26</v>
      </c>
    </row>
    <row r="5" spans="1:7" x14ac:dyDescent="0.25">
      <c r="A5" s="9">
        <v>2</v>
      </c>
      <c r="B5" s="9">
        <v>0</v>
      </c>
      <c r="C5" s="9" t="s">
        <v>179</v>
      </c>
      <c r="D5" s="9" t="s">
        <v>62</v>
      </c>
      <c r="E5" s="11" t="str">
        <f>IFERROR(IF(INDEX(ChecksData!$B:$B,MATCH(""&amp;$A5,ChecksData!$A:$A,0))="","Not run",""&amp;INDEX(ChecksData!$B:$B,MATCH(""&amp;$A5,ChecksData!$A:$A,0))),"Not run")</f>
        <v>Pass</v>
      </c>
      <c r="F5" s="11" t="str">
        <f>IFERROR(""&amp;INDEX(ChecksData!$C:$C,MATCH(""&amp;$A5,ChecksData!$A:$A,0)),"")</f>
        <v>2026-09-26</v>
      </c>
      <c r="G5" s="11" t="str">
        <f>IFERROR(""&amp;INDEX(ChecksData!$D:$D,MATCH(""&amp;$A5,ChecksData!$A:$A,0)),"")</f>
        <v>Reported by owner 2026-09-26</v>
      </c>
    </row>
    <row r="6" spans="1:7" ht="25.5" x14ac:dyDescent="0.25">
      <c r="A6" s="9">
        <v>3</v>
      </c>
      <c r="B6" s="9">
        <v>0</v>
      </c>
      <c r="C6" s="9" t="s">
        <v>180</v>
      </c>
      <c r="D6" s="9" t="s">
        <v>53</v>
      </c>
      <c r="E6" s="11" t="str">
        <f>IFERROR(IF(INDEX(ChecksData!$B:$B,MATCH(""&amp;$A6,ChecksData!$A:$A,0))="","Not run",""&amp;INDEX(ChecksData!$B:$B,MATCH(""&amp;$A6,ChecksData!$A:$A,0))),"Not run")</f>
        <v>Not run</v>
      </c>
      <c r="F6" s="11" t="str">
        <f>IFERROR(""&amp;INDEX(ChecksData!$C:$C,MATCH(""&amp;$A6,ChecksData!$A:$A,0)),"")</f>
        <v/>
      </c>
      <c r="G6" s="11" t="str">
        <f>IFERROR(""&amp;INDEX(ChecksData!$D:$D,MATCH(""&amp;$A6,ChecksData!$A:$A,0)),"")</f>
        <v/>
      </c>
    </row>
    <row r="7" spans="1:7" x14ac:dyDescent="0.25">
      <c r="A7" s="9">
        <v>4</v>
      </c>
      <c r="B7" s="9">
        <v>0</v>
      </c>
      <c r="C7" s="9" t="s">
        <v>181</v>
      </c>
      <c r="D7" s="9" t="s">
        <v>49</v>
      </c>
      <c r="E7" s="11" t="str">
        <f>IFERROR(IF(INDEX(ChecksData!$B:$B,MATCH(""&amp;$A7,ChecksData!$A:$A,0))="","Not run",""&amp;INDEX(ChecksData!$B:$B,MATCH(""&amp;$A7,ChecksData!$A:$A,0))),"Not run")</f>
        <v>Not run</v>
      </c>
      <c r="F7" s="11" t="str">
        <f>IFERROR(""&amp;INDEX(ChecksData!$C:$C,MATCH(""&amp;$A7,ChecksData!$A:$A,0)),"")</f>
        <v/>
      </c>
      <c r="G7" s="11" t="str">
        <f>IFERROR(""&amp;INDEX(ChecksData!$D:$D,MATCH(""&amp;$A7,ChecksData!$A:$A,0)),"")</f>
        <v/>
      </c>
    </row>
    <row r="8" spans="1:7" x14ac:dyDescent="0.25">
      <c r="A8" s="9">
        <v>5</v>
      </c>
      <c r="B8" s="9">
        <v>0</v>
      </c>
      <c r="C8" s="9" t="s">
        <v>182</v>
      </c>
      <c r="D8" s="9" t="s">
        <v>64</v>
      </c>
      <c r="E8" s="11" t="str">
        <f>IFERROR(IF(INDEX(ChecksData!$B:$B,MATCH(""&amp;$A8,ChecksData!$A:$A,0))="","Not run",""&amp;INDEX(ChecksData!$B:$B,MATCH(""&amp;$A8,ChecksData!$A:$A,0))),"Not run")</f>
        <v>Not run</v>
      </c>
      <c r="F8" s="11" t="str">
        <f>IFERROR(""&amp;INDEX(ChecksData!$C:$C,MATCH(""&amp;$A8,ChecksData!$A:$A,0)),"")</f>
        <v/>
      </c>
      <c r="G8" s="11" t="str">
        <f>IFERROR(""&amp;INDEX(ChecksData!$D:$D,MATCH(""&amp;$A8,ChecksData!$A:$A,0)),"")</f>
        <v/>
      </c>
    </row>
    <row r="9" spans="1:7" x14ac:dyDescent="0.25">
      <c r="A9" s="9">
        <v>6</v>
      </c>
      <c r="B9" s="9">
        <v>0</v>
      </c>
      <c r="C9" s="9" t="s">
        <v>183</v>
      </c>
      <c r="D9" s="9" t="s">
        <v>38</v>
      </c>
      <c r="E9" s="11" t="str">
        <f>IFERROR(IF(INDEX(ChecksData!$B:$B,MATCH(""&amp;$A9,ChecksData!$A:$A,0))="","Not run",""&amp;INDEX(ChecksData!$B:$B,MATCH(""&amp;$A9,ChecksData!$A:$A,0))),"Not run")</f>
        <v>Not run</v>
      </c>
      <c r="F9" s="11" t="str">
        <f>IFERROR(""&amp;INDEX(ChecksData!$C:$C,MATCH(""&amp;$A9,ChecksData!$A:$A,0)),"")</f>
        <v/>
      </c>
      <c r="G9" s="11" t="str">
        <f>IFERROR(""&amp;INDEX(ChecksData!$D:$D,MATCH(""&amp;$A9,ChecksData!$A:$A,0)),"")</f>
        <v/>
      </c>
    </row>
    <row r="10" spans="1:7" x14ac:dyDescent="0.25">
      <c r="A10" s="9">
        <v>7</v>
      </c>
      <c r="B10" s="9">
        <v>1</v>
      </c>
      <c r="C10" s="9" t="s">
        <v>184</v>
      </c>
      <c r="D10" s="9" t="s">
        <v>78</v>
      </c>
      <c r="E10" s="11" t="str">
        <f>IFERROR(IF(INDEX(ChecksData!$B:$B,MATCH(""&amp;$A10,ChecksData!$A:$A,0))="","Not run",""&amp;INDEX(ChecksData!$B:$B,MATCH(""&amp;$A10,ChecksData!$A:$A,0))),"Not run")</f>
        <v>Pass</v>
      </c>
      <c r="F10" s="11" t="str">
        <f>IFERROR(""&amp;INDEX(ChecksData!$C:$C,MATCH(""&amp;$A10,ChecksData!$A:$A,0)),"")</f>
        <v>2026-09-26</v>
      </c>
      <c r="G10" s="11" t="str">
        <f>IFERROR(""&amp;INDEX(ChecksData!$D:$D,MATCH(""&amp;$A10,ChecksData!$A:$A,0)),"")</f>
        <v/>
      </c>
    </row>
    <row r="11" spans="1:7" x14ac:dyDescent="0.25">
      <c r="A11" s="9">
        <v>8</v>
      </c>
      <c r="B11" s="9">
        <v>1</v>
      </c>
      <c r="C11" s="9" t="s">
        <v>185</v>
      </c>
      <c r="D11" s="9" t="s">
        <v>82</v>
      </c>
      <c r="E11" s="11" t="str">
        <f>IFERROR(IF(INDEX(ChecksData!$B:$B,MATCH(""&amp;$A11,ChecksData!$A:$A,0))="","Not run",""&amp;INDEX(ChecksData!$B:$B,MATCH(""&amp;$A11,ChecksData!$A:$A,0))),"Not run")</f>
        <v>Pass</v>
      </c>
      <c r="F11" s="11" t="str">
        <f>IFERROR(""&amp;INDEX(ChecksData!$C:$C,MATCH(""&amp;$A11,ChecksData!$A:$A,0)),"")</f>
        <v>2026-09-26</v>
      </c>
      <c r="G11" s="11" t="str">
        <f>IFERROR(""&amp;INDEX(ChecksData!$D:$D,MATCH(""&amp;$A11,ChecksData!$A:$A,0)),"")</f>
        <v/>
      </c>
    </row>
    <row r="12" spans="1:7" ht="25.5" x14ac:dyDescent="0.25">
      <c r="A12" s="9">
        <v>9</v>
      </c>
      <c r="B12" s="9">
        <v>1</v>
      </c>
      <c r="C12" s="9" t="s">
        <v>186</v>
      </c>
      <c r="D12" s="9" t="s">
        <v>82</v>
      </c>
      <c r="E12" s="11" t="str">
        <f>IFERROR(IF(INDEX(ChecksData!$B:$B,MATCH(""&amp;$A12,ChecksData!$A:$A,0))="","Not run",""&amp;INDEX(ChecksData!$B:$B,MATCH(""&amp;$A12,ChecksData!$A:$A,0))),"Not run")</f>
        <v>Not run</v>
      </c>
      <c r="F12" s="11" t="str">
        <f>IFERROR(""&amp;INDEX(ChecksData!$C:$C,MATCH(""&amp;$A12,ChecksData!$A:$A,0)),"")</f>
        <v/>
      </c>
      <c r="G12" s="11" t="str">
        <f>IFERROR(""&amp;INDEX(ChecksData!$D:$D,MATCH(""&amp;$A12,ChecksData!$A:$A,0)),"")</f>
        <v/>
      </c>
    </row>
    <row r="13" spans="1:7" x14ac:dyDescent="0.25">
      <c r="A13" s="9">
        <v>10</v>
      </c>
      <c r="B13" s="9">
        <v>1</v>
      </c>
      <c r="C13" s="9" t="s">
        <v>187</v>
      </c>
      <c r="D13" s="9" t="s">
        <v>76</v>
      </c>
      <c r="E13" s="11" t="str">
        <f>IFERROR(IF(INDEX(ChecksData!$B:$B,MATCH(""&amp;$A13,ChecksData!$A:$A,0))="","Not run",""&amp;INDEX(ChecksData!$B:$B,MATCH(""&amp;$A13,ChecksData!$A:$A,0))),"Not run")</f>
        <v>Not run</v>
      </c>
      <c r="F13" s="11" t="str">
        <f>IFERROR(""&amp;INDEX(ChecksData!$C:$C,MATCH(""&amp;$A13,ChecksData!$A:$A,0)),"")</f>
        <v/>
      </c>
      <c r="G13" s="11" t="str">
        <f>IFERROR(""&amp;INDEX(ChecksData!$D:$D,MATCH(""&amp;$A13,ChecksData!$A:$A,0)),"")</f>
        <v/>
      </c>
    </row>
    <row r="14" spans="1:7" x14ac:dyDescent="0.25">
      <c r="A14" s="9">
        <v>11</v>
      </c>
      <c r="B14" s="9">
        <v>2</v>
      </c>
      <c r="C14" s="9" t="s">
        <v>188</v>
      </c>
      <c r="D14" s="9" t="s">
        <v>189</v>
      </c>
      <c r="E14" s="11" t="str">
        <f>IFERROR(IF(INDEX(ChecksData!$B:$B,MATCH(""&amp;$A14,ChecksData!$A:$A,0))="","Not run",""&amp;INDEX(ChecksData!$B:$B,MATCH(""&amp;$A14,ChecksData!$A:$A,0))),"Not run")</f>
        <v>Not run</v>
      </c>
      <c r="F14" s="11" t="str">
        <f>IFERROR(""&amp;INDEX(ChecksData!$C:$C,MATCH(""&amp;$A14,ChecksData!$A:$A,0)),"")</f>
        <v/>
      </c>
      <c r="G14" s="11" t="str">
        <f>IFERROR(""&amp;INDEX(ChecksData!$D:$D,MATCH(""&amp;$A14,ChecksData!$A:$A,0)),"")</f>
        <v/>
      </c>
    </row>
    <row r="15" spans="1:7" x14ac:dyDescent="0.25">
      <c r="A15" s="9">
        <v>12</v>
      </c>
      <c r="B15" s="9">
        <v>2</v>
      </c>
      <c r="C15" s="9" t="s">
        <v>190</v>
      </c>
      <c r="D15" s="9" t="s">
        <v>90</v>
      </c>
      <c r="E15" s="11" t="str">
        <f>IFERROR(IF(INDEX(ChecksData!$B:$B,MATCH(""&amp;$A15,ChecksData!$A:$A,0))="","Not run",""&amp;INDEX(ChecksData!$B:$B,MATCH(""&amp;$A15,ChecksData!$A:$A,0))),"Not run")</f>
        <v>Not run</v>
      </c>
      <c r="F15" s="11" t="str">
        <f>IFERROR(""&amp;INDEX(ChecksData!$C:$C,MATCH(""&amp;$A15,ChecksData!$A:$A,0)),"")</f>
        <v/>
      </c>
      <c r="G15" s="11" t="str">
        <f>IFERROR(""&amp;INDEX(ChecksData!$D:$D,MATCH(""&amp;$A15,ChecksData!$A:$A,0)),"")</f>
        <v/>
      </c>
    </row>
    <row r="16" spans="1:7" x14ac:dyDescent="0.25">
      <c r="A16" s="9">
        <v>13</v>
      </c>
      <c r="B16" s="9">
        <v>2</v>
      </c>
      <c r="C16" s="9" t="s">
        <v>191</v>
      </c>
      <c r="D16" s="9" t="s">
        <v>98</v>
      </c>
      <c r="E16" s="11" t="str">
        <f>IFERROR(IF(INDEX(ChecksData!$B:$B,MATCH(""&amp;$A16,ChecksData!$A:$A,0))="","Not run",""&amp;INDEX(ChecksData!$B:$B,MATCH(""&amp;$A16,ChecksData!$A:$A,0))),"Not run")</f>
        <v>Not run</v>
      </c>
      <c r="F16" s="11" t="str">
        <f>IFERROR(""&amp;INDEX(ChecksData!$C:$C,MATCH(""&amp;$A16,ChecksData!$A:$A,0)),"")</f>
        <v/>
      </c>
      <c r="G16" s="11" t="str">
        <f>IFERROR(""&amp;INDEX(ChecksData!$D:$D,MATCH(""&amp;$A16,ChecksData!$A:$A,0)),"")</f>
        <v/>
      </c>
    </row>
    <row r="17" spans="1:7" ht="25.5" x14ac:dyDescent="0.25">
      <c r="A17" s="9">
        <v>14</v>
      </c>
      <c r="B17" s="9">
        <v>2</v>
      </c>
      <c r="C17" s="9" t="s">
        <v>192</v>
      </c>
      <c r="D17" s="9" t="s">
        <v>86</v>
      </c>
      <c r="E17" s="11" t="str">
        <f>IFERROR(IF(INDEX(ChecksData!$B:$B,MATCH(""&amp;$A17,ChecksData!$A:$A,0))="","Not run",""&amp;INDEX(ChecksData!$B:$B,MATCH(""&amp;$A17,ChecksData!$A:$A,0))),"Not run")</f>
        <v>Not run</v>
      </c>
      <c r="F17" s="11" t="str">
        <f>IFERROR(""&amp;INDEX(ChecksData!$C:$C,MATCH(""&amp;$A17,ChecksData!$A:$A,0)),"")</f>
        <v/>
      </c>
      <c r="G17" s="11" t="str">
        <f>IFERROR(""&amp;INDEX(ChecksData!$D:$D,MATCH(""&amp;$A17,ChecksData!$A:$A,0)),"")</f>
        <v/>
      </c>
    </row>
    <row r="18" spans="1:7" x14ac:dyDescent="0.25">
      <c r="A18" s="9">
        <v>15</v>
      </c>
      <c r="B18" s="9">
        <v>2</v>
      </c>
      <c r="C18" s="9" t="s">
        <v>193</v>
      </c>
      <c r="D18" s="9" t="s">
        <v>101</v>
      </c>
      <c r="E18" s="11" t="str">
        <f>IFERROR(IF(INDEX(ChecksData!$B:$B,MATCH(""&amp;$A18,ChecksData!$A:$A,0))="","Not run",""&amp;INDEX(ChecksData!$B:$B,MATCH(""&amp;$A18,ChecksData!$A:$A,0))),"Not run")</f>
        <v>Not run</v>
      </c>
      <c r="F18" s="11" t="str">
        <f>IFERROR(""&amp;INDEX(ChecksData!$C:$C,MATCH(""&amp;$A18,ChecksData!$A:$A,0)),"")</f>
        <v/>
      </c>
      <c r="G18" s="11" t="str">
        <f>IFERROR(""&amp;INDEX(ChecksData!$D:$D,MATCH(""&amp;$A18,ChecksData!$A:$A,0)),"")</f>
        <v/>
      </c>
    </row>
    <row r="19" spans="1:7" x14ac:dyDescent="0.25">
      <c r="A19" s="9">
        <v>16</v>
      </c>
      <c r="B19" s="9">
        <v>3</v>
      </c>
      <c r="C19" s="9" t="s">
        <v>194</v>
      </c>
      <c r="D19" s="9" t="s">
        <v>118</v>
      </c>
      <c r="E19" s="11" t="str">
        <f>IFERROR(IF(INDEX(ChecksData!$B:$B,MATCH(""&amp;$A19,ChecksData!$A:$A,0))="","Not run",""&amp;INDEX(ChecksData!$B:$B,MATCH(""&amp;$A19,ChecksData!$A:$A,0))),"Not run")</f>
        <v>Not run</v>
      </c>
      <c r="F19" s="11" t="str">
        <f>IFERROR(""&amp;INDEX(ChecksData!$C:$C,MATCH(""&amp;$A19,ChecksData!$A:$A,0)),"")</f>
        <v/>
      </c>
      <c r="G19" s="11" t="str">
        <f>IFERROR(""&amp;INDEX(ChecksData!$D:$D,MATCH(""&amp;$A19,ChecksData!$A:$A,0)),"")</f>
        <v/>
      </c>
    </row>
    <row r="20" spans="1:7" ht="25.5" x14ac:dyDescent="0.25">
      <c r="A20" s="9">
        <v>17</v>
      </c>
      <c r="B20" s="9">
        <v>3</v>
      </c>
      <c r="C20" s="9" t="s">
        <v>195</v>
      </c>
      <c r="D20" s="9" t="s">
        <v>111</v>
      </c>
      <c r="E20" s="11" t="str">
        <f>IFERROR(IF(INDEX(ChecksData!$B:$B,MATCH(""&amp;$A20,ChecksData!$A:$A,0))="","Not run",""&amp;INDEX(ChecksData!$B:$B,MATCH(""&amp;$A20,ChecksData!$A:$A,0))),"Not run")</f>
        <v>Not run</v>
      </c>
      <c r="F20" s="11" t="str">
        <f>IFERROR(""&amp;INDEX(ChecksData!$C:$C,MATCH(""&amp;$A20,ChecksData!$A:$A,0)),"")</f>
        <v/>
      </c>
      <c r="G20" s="11" t="str">
        <f>IFERROR(""&amp;INDEX(ChecksData!$D:$D,MATCH(""&amp;$A20,ChecksData!$A:$A,0)),"")</f>
        <v/>
      </c>
    </row>
    <row r="21" spans="1:7" x14ac:dyDescent="0.25">
      <c r="A21" s="9">
        <v>18</v>
      </c>
      <c r="B21" s="9">
        <v>3</v>
      </c>
      <c r="C21" s="9" t="s">
        <v>196</v>
      </c>
      <c r="D21" s="9" t="s">
        <v>109</v>
      </c>
      <c r="E21" s="11" t="str">
        <f>IFERROR(IF(INDEX(ChecksData!$B:$B,MATCH(""&amp;$A21,ChecksData!$A:$A,0))="","Not run",""&amp;INDEX(ChecksData!$B:$B,MATCH(""&amp;$A21,ChecksData!$A:$A,0))),"Not run")</f>
        <v>Not run</v>
      </c>
      <c r="F21" s="11" t="str">
        <f>IFERROR(""&amp;INDEX(ChecksData!$C:$C,MATCH(""&amp;$A21,ChecksData!$A:$A,0)),"")</f>
        <v/>
      </c>
      <c r="G21" s="11" t="str">
        <f>IFERROR(""&amp;INDEX(ChecksData!$D:$D,MATCH(""&amp;$A21,ChecksData!$A:$A,0)),"")</f>
        <v/>
      </c>
    </row>
    <row r="22" spans="1:7" x14ac:dyDescent="0.25">
      <c r="A22" s="9">
        <v>19</v>
      </c>
      <c r="B22" s="9">
        <v>3</v>
      </c>
      <c r="C22" s="9" t="s">
        <v>197</v>
      </c>
      <c r="D22" s="9" t="s">
        <v>111</v>
      </c>
      <c r="E22" s="11" t="str">
        <f>IFERROR(IF(INDEX(ChecksData!$B:$B,MATCH(""&amp;$A22,ChecksData!$A:$A,0))="","Not run",""&amp;INDEX(ChecksData!$B:$B,MATCH(""&amp;$A22,ChecksData!$A:$A,0))),"Not run")</f>
        <v>Not run</v>
      </c>
      <c r="F22" s="11" t="str">
        <f>IFERROR(""&amp;INDEX(ChecksData!$C:$C,MATCH(""&amp;$A22,ChecksData!$A:$A,0)),"")</f>
        <v/>
      </c>
      <c r="G22" s="11" t="str">
        <f>IFERROR(""&amp;INDEX(ChecksData!$D:$D,MATCH(""&amp;$A22,ChecksData!$A:$A,0)),"")</f>
        <v/>
      </c>
    </row>
    <row r="23" spans="1:7" x14ac:dyDescent="0.25">
      <c r="A23" s="9">
        <v>20</v>
      </c>
      <c r="B23" s="9">
        <v>3</v>
      </c>
      <c r="C23" s="9" t="s">
        <v>198</v>
      </c>
      <c r="D23" s="9" t="s">
        <v>105</v>
      </c>
      <c r="E23" s="11" t="str">
        <f>IFERROR(IF(INDEX(ChecksData!$B:$B,MATCH(""&amp;$A23,ChecksData!$A:$A,0))="","Not run",""&amp;INDEX(ChecksData!$B:$B,MATCH(""&amp;$A23,ChecksData!$A:$A,0))),"Not run")</f>
        <v>Not run</v>
      </c>
      <c r="F23" s="11" t="str">
        <f>IFERROR(""&amp;INDEX(ChecksData!$C:$C,MATCH(""&amp;$A23,ChecksData!$A:$A,0)),"")</f>
        <v/>
      </c>
      <c r="G23" s="11" t="str">
        <f>IFERROR(""&amp;INDEX(ChecksData!$D:$D,MATCH(""&amp;$A23,ChecksData!$A:$A,0)),"")</f>
        <v/>
      </c>
    </row>
    <row r="24" spans="1:7" x14ac:dyDescent="0.25">
      <c r="A24" s="9">
        <v>21</v>
      </c>
      <c r="B24" s="9">
        <v>3</v>
      </c>
      <c r="C24" s="9" t="s">
        <v>199</v>
      </c>
      <c r="D24" s="9" t="s">
        <v>130</v>
      </c>
      <c r="E24" s="11" t="str">
        <f>IFERROR(IF(INDEX(ChecksData!$B:$B,MATCH(""&amp;$A24,ChecksData!$A:$A,0))="","Not run",""&amp;INDEX(ChecksData!$B:$B,MATCH(""&amp;$A24,ChecksData!$A:$A,0))),"Not run")</f>
        <v>Not run</v>
      </c>
      <c r="F24" s="11" t="str">
        <f>IFERROR(""&amp;INDEX(ChecksData!$C:$C,MATCH(""&amp;$A24,ChecksData!$A:$A,0)),"")</f>
        <v/>
      </c>
      <c r="G24" s="11" t="str">
        <f>IFERROR(""&amp;INDEX(ChecksData!$D:$D,MATCH(""&amp;$A24,ChecksData!$A:$A,0)),"")</f>
        <v/>
      </c>
    </row>
    <row r="25" spans="1:7" x14ac:dyDescent="0.25">
      <c r="A25" s="9">
        <v>22</v>
      </c>
      <c r="B25" s="9">
        <v>4</v>
      </c>
      <c r="C25" s="9" t="s">
        <v>200</v>
      </c>
      <c r="D25" s="9" t="s">
        <v>135</v>
      </c>
      <c r="E25" s="11" t="str">
        <f>IFERROR(IF(INDEX(ChecksData!$B:$B,MATCH(""&amp;$A25,ChecksData!$A:$A,0))="","Not run",""&amp;INDEX(ChecksData!$B:$B,MATCH(""&amp;$A25,ChecksData!$A:$A,0))),"Not run")</f>
        <v>Not run</v>
      </c>
      <c r="F25" s="11" t="str">
        <f>IFERROR(""&amp;INDEX(ChecksData!$C:$C,MATCH(""&amp;$A25,ChecksData!$A:$A,0)),"")</f>
        <v/>
      </c>
      <c r="G25" s="11" t="str">
        <f>IFERROR(""&amp;INDEX(ChecksData!$D:$D,MATCH(""&amp;$A25,ChecksData!$A:$A,0)),"")</f>
        <v/>
      </c>
    </row>
    <row r="26" spans="1:7" x14ac:dyDescent="0.25">
      <c r="A26" s="9">
        <v>23</v>
      </c>
      <c r="B26" s="9">
        <v>4</v>
      </c>
      <c r="C26" s="9" t="s">
        <v>201</v>
      </c>
      <c r="D26" s="9" t="s">
        <v>140</v>
      </c>
      <c r="E26" s="11" t="str">
        <f>IFERROR(IF(INDEX(ChecksData!$B:$B,MATCH(""&amp;$A26,ChecksData!$A:$A,0))="","Not run",""&amp;INDEX(ChecksData!$B:$B,MATCH(""&amp;$A26,ChecksData!$A:$A,0))),"Not run")</f>
        <v>Not run</v>
      </c>
      <c r="F26" s="11" t="str">
        <f>IFERROR(""&amp;INDEX(ChecksData!$C:$C,MATCH(""&amp;$A26,ChecksData!$A:$A,0)),"")</f>
        <v/>
      </c>
      <c r="G26" s="11" t="str">
        <f>IFERROR(""&amp;INDEX(ChecksData!$D:$D,MATCH(""&amp;$A26,ChecksData!$A:$A,0)),"")</f>
        <v/>
      </c>
    </row>
    <row r="27" spans="1:7" x14ac:dyDescent="0.25">
      <c r="A27" s="9">
        <v>24</v>
      </c>
      <c r="B27" s="9">
        <v>4</v>
      </c>
      <c r="C27" s="9" t="s">
        <v>202</v>
      </c>
      <c r="D27" s="9" t="s">
        <v>142</v>
      </c>
      <c r="E27" s="11" t="str">
        <f>IFERROR(IF(INDEX(ChecksData!$B:$B,MATCH(""&amp;$A27,ChecksData!$A:$A,0))="","Not run",""&amp;INDEX(ChecksData!$B:$B,MATCH(""&amp;$A27,ChecksData!$A:$A,0))),"Not run")</f>
        <v>Not run</v>
      </c>
      <c r="F27" s="11" t="str">
        <f>IFERROR(""&amp;INDEX(ChecksData!$C:$C,MATCH(""&amp;$A27,ChecksData!$A:$A,0)),"")</f>
        <v/>
      </c>
      <c r="G27" s="11" t="str">
        <f>IFERROR(""&amp;INDEX(ChecksData!$D:$D,MATCH(""&amp;$A27,ChecksData!$A:$A,0)),"")</f>
        <v/>
      </c>
    </row>
  </sheetData>
  <conditionalFormatting sqref="E4:E27">
    <cfRule type="expression" dxfId="5" priority="1">
      <formula>E4="Pass"</formula>
    </cfRule>
    <cfRule type="expression" dxfId="4" priority="2">
      <formula>E4="Fail"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8"/>
  <sheetViews>
    <sheetView workbookViewId="0"/>
  </sheetViews>
  <sheetFormatPr defaultRowHeight="15" x14ac:dyDescent="0.25"/>
  <cols>
    <col min="1" max="1" width="24" customWidth="1"/>
    <col min="2" max="2" width="11" customWidth="1"/>
    <col min="3" max="3" width="28" customWidth="1"/>
    <col min="4" max="4" width="22" customWidth="1"/>
    <col min="5" max="5" width="8" customWidth="1"/>
    <col min="6" max="6" width="10" customWidth="1"/>
    <col min="7" max="7" width="8" customWidth="1"/>
    <col min="8" max="8" width="12" customWidth="1"/>
    <col min="9" max="9" width="60" customWidth="1"/>
  </cols>
  <sheetData>
    <row r="1" spans="1:9" ht="18" x14ac:dyDescent="0.25">
      <c r="A1" s="5" t="s">
        <v>203</v>
      </c>
    </row>
    <row r="2" spans="1:9" x14ac:dyDescent="0.25">
      <c r="A2" s="6" t="s">
        <v>204</v>
      </c>
    </row>
    <row r="4" spans="1:9" ht="25.5" x14ac:dyDescent="0.25">
      <c r="A4" s="7" t="s">
        <v>205</v>
      </c>
      <c r="B4" s="7" t="s">
        <v>206</v>
      </c>
      <c r="C4" s="7" t="s">
        <v>207</v>
      </c>
      <c r="D4" s="7" t="s">
        <v>29</v>
      </c>
      <c r="E4" s="7" t="s">
        <v>40</v>
      </c>
      <c r="F4" s="7" t="s">
        <v>47</v>
      </c>
      <c r="G4" s="7" t="s">
        <v>71</v>
      </c>
      <c r="H4" s="7" t="s">
        <v>208</v>
      </c>
      <c r="I4" s="7" t="s">
        <v>36</v>
      </c>
    </row>
    <row r="5" spans="1:9" x14ac:dyDescent="0.25">
      <c r="A5" s="8" t="s">
        <v>209</v>
      </c>
      <c r="B5" s="9" t="s">
        <v>210</v>
      </c>
      <c r="C5" s="9" t="s">
        <v>211</v>
      </c>
      <c r="D5" s="9" t="s">
        <v>212</v>
      </c>
      <c r="E5" s="9" t="s">
        <v>213</v>
      </c>
      <c r="F5" s="9" t="s">
        <v>213</v>
      </c>
      <c r="G5" s="9" t="s">
        <v>213</v>
      </c>
      <c r="H5" s="9" t="s">
        <v>213</v>
      </c>
      <c r="I5" s="9" t="s">
        <v>214</v>
      </c>
    </row>
    <row r="6" spans="1:9" x14ac:dyDescent="0.25">
      <c r="A6" s="8" t="s">
        <v>215</v>
      </c>
      <c r="B6" s="9" t="s">
        <v>210</v>
      </c>
      <c r="C6" s="9" t="s">
        <v>216</v>
      </c>
      <c r="D6" s="9" t="s">
        <v>217</v>
      </c>
      <c r="E6" s="9" t="s">
        <v>213</v>
      </c>
      <c r="F6" s="9" t="s">
        <v>213</v>
      </c>
      <c r="G6" s="9" t="s">
        <v>213</v>
      </c>
      <c r="H6" s="9" t="s">
        <v>213</v>
      </c>
      <c r="I6" s="9" t="s">
        <v>218</v>
      </c>
    </row>
    <row r="7" spans="1:9" x14ac:dyDescent="0.25">
      <c r="A7" s="8" t="s">
        <v>219</v>
      </c>
      <c r="B7" s="9" t="s">
        <v>210</v>
      </c>
      <c r="C7" s="9" t="s">
        <v>220</v>
      </c>
      <c r="D7" s="9" t="s">
        <v>217</v>
      </c>
      <c r="E7" s="9" t="s">
        <v>213</v>
      </c>
      <c r="F7" s="9" t="s">
        <v>213</v>
      </c>
      <c r="G7" s="9" t="s">
        <v>41</v>
      </c>
      <c r="H7" s="9" t="s">
        <v>41</v>
      </c>
      <c r="I7" s="9" t="s">
        <v>221</v>
      </c>
    </row>
    <row r="8" spans="1:9" x14ac:dyDescent="0.25">
      <c r="A8" s="8" t="s">
        <v>222</v>
      </c>
      <c r="B8" s="9" t="s">
        <v>210</v>
      </c>
      <c r="C8" s="9" t="s">
        <v>223</v>
      </c>
      <c r="D8" s="9" t="s">
        <v>217</v>
      </c>
      <c r="E8" s="9" t="s">
        <v>213</v>
      </c>
      <c r="F8" s="9" t="s">
        <v>41</v>
      </c>
      <c r="G8" s="9" t="s">
        <v>41</v>
      </c>
      <c r="H8" s="9" t="s">
        <v>41</v>
      </c>
      <c r="I8" s="9" t="s">
        <v>224</v>
      </c>
    </row>
    <row r="9" spans="1:9" ht="25.5" x14ac:dyDescent="0.25">
      <c r="A9" s="8" t="s">
        <v>225</v>
      </c>
      <c r="B9" s="9" t="s">
        <v>226</v>
      </c>
      <c r="C9" s="9" t="s">
        <v>227</v>
      </c>
      <c r="D9" s="9" t="s">
        <v>228</v>
      </c>
      <c r="E9" s="9" t="s">
        <v>213</v>
      </c>
      <c r="F9" s="9" t="s">
        <v>213</v>
      </c>
      <c r="G9" s="9" t="s">
        <v>41</v>
      </c>
      <c r="H9" s="9" t="s">
        <v>41</v>
      </c>
      <c r="I9" s="9" t="s">
        <v>229</v>
      </c>
    </row>
    <row r="10" spans="1:9" ht="25.5" x14ac:dyDescent="0.25">
      <c r="A10" s="8" t="s">
        <v>230</v>
      </c>
      <c r="B10" s="9" t="s">
        <v>226</v>
      </c>
      <c r="C10" s="9" t="s">
        <v>231</v>
      </c>
      <c r="D10" s="9" t="s">
        <v>232</v>
      </c>
      <c r="E10" s="9" t="s">
        <v>213</v>
      </c>
      <c r="F10" s="9" t="s">
        <v>213</v>
      </c>
      <c r="G10" s="9" t="s">
        <v>41</v>
      </c>
      <c r="H10" s="9" t="s">
        <v>41</v>
      </c>
      <c r="I10" s="9" t="s">
        <v>233</v>
      </c>
    </row>
    <row r="11" spans="1:9" x14ac:dyDescent="0.25">
      <c r="A11" s="8" t="s">
        <v>234</v>
      </c>
      <c r="B11" s="9" t="s">
        <v>226</v>
      </c>
      <c r="C11" s="9" t="s">
        <v>235</v>
      </c>
      <c r="D11" s="9" t="s">
        <v>236</v>
      </c>
      <c r="E11" s="9" t="s">
        <v>213</v>
      </c>
      <c r="F11" s="9" t="s">
        <v>213</v>
      </c>
      <c r="G11" s="9" t="s">
        <v>41</v>
      </c>
      <c r="H11" s="9" t="s">
        <v>41</v>
      </c>
      <c r="I11" s="9" t="s">
        <v>237</v>
      </c>
    </row>
    <row r="12" spans="1:9" x14ac:dyDescent="0.25">
      <c r="A12" s="8" t="s">
        <v>238</v>
      </c>
      <c r="B12" s="9" t="s">
        <v>226</v>
      </c>
      <c r="C12" s="9" t="s">
        <v>239</v>
      </c>
      <c r="D12" s="9" t="s">
        <v>236</v>
      </c>
      <c r="E12" s="9" t="s">
        <v>213</v>
      </c>
      <c r="F12" s="9" t="s">
        <v>240</v>
      </c>
      <c r="G12" s="9" t="s">
        <v>41</v>
      </c>
      <c r="H12" s="9" t="s">
        <v>41</v>
      </c>
      <c r="I12" s="9" t="s">
        <v>241</v>
      </c>
    </row>
    <row r="13" spans="1:9" x14ac:dyDescent="0.25">
      <c r="A13" s="8" t="s">
        <v>242</v>
      </c>
      <c r="B13" s="9" t="s">
        <v>226</v>
      </c>
      <c r="C13" s="9" t="s">
        <v>243</v>
      </c>
      <c r="D13" s="9" t="s">
        <v>232</v>
      </c>
      <c r="E13" s="9" t="s">
        <v>213</v>
      </c>
      <c r="F13" s="9" t="s">
        <v>240</v>
      </c>
      <c r="G13" s="9" t="s">
        <v>41</v>
      </c>
      <c r="H13" s="9" t="s">
        <v>41</v>
      </c>
      <c r="I13" s="9" t="s">
        <v>244</v>
      </c>
    </row>
    <row r="14" spans="1:9" x14ac:dyDescent="0.25">
      <c r="A14" s="8" t="s">
        <v>245</v>
      </c>
      <c r="B14" s="9" t="s">
        <v>226</v>
      </c>
      <c r="C14" s="9" t="s">
        <v>246</v>
      </c>
      <c r="D14" s="9" t="s">
        <v>247</v>
      </c>
      <c r="E14" s="9" t="s">
        <v>213</v>
      </c>
      <c r="F14" s="9" t="s">
        <v>240</v>
      </c>
      <c r="G14" s="9" t="s">
        <v>41</v>
      </c>
      <c r="H14" s="9" t="s">
        <v>41</v>
      </c>
      <c r="I14" s="9" t="s">
        <v>248</v>
      </c>
    </row>
    <row r="15" spans="1:9" x14ac:dyDescent="0.25">
      <c r="A15" s="8" t="s">
        <v>249</v>
      </c>
      <c r="B15" s="9" t="s">
        <v>226</v>
      </c>
      <c r="C15" s="9" t="s">
        <v>250</v>
      </c>
      <c r="D15" s="9" t="s">
        <v>251</v>
      </c>
      <c r="E15" s="9" t="s">
        <v>213</v>
      </c>
      <c r="F15" s="9" t="s">
        <v>41</v>
      </c>
      <c r="G15" s="9" t="s">
        <v>41</v>
      </c>
      <c r="H15" s="9" t="s">
        <v>41</v>
      </c>
      <c r="I15" s="9" t="s">
        <v>252</v>
      </c>
    </row>
    <row r="16" spans="1:9" x14ac:dyDescent="0.25">
      <c r="A16" s="8" t="s">
        <v>253</v>
      </c>
      <c r="B16" s="9" t="s">
        <v>226</v>
      </c>
      <c r="C16" s="9" t="s">
        <v>254</v>
      </c>
      <c r="D16" s="9" t="s">
        <v>236</v>
      </c>
      <c r="E16" s="9" t="s">
        <v>213</v>
      </c>
      <c r="F16" s="9" t="s">
        <v>41</v>
      </c>
      <c r="G16" s="9" t="s">
        <v>41</v>
      </c>
      <c r="H16" s="9" t="s">
        <v>41</v>
      </c>
      <c r="I16" s="9" t="s">
        <v>255</v>
      </c>
    </row>
    <row r="17" spans="1:9" x14ac:dyDescent="0.25">
      <c r="A17" s="8" t="s">
        <v>256</v>
      </c>
      <c r="B17" s="9" t="s">
        <v>226</v>
      </c>
      <c r="C17" s="9" t="s">
        <v>257</v>
      </c>
      <c r="D17" s="9" t="s">
        <v>236</v>
      </c>
      <c r="E17" s="9" t="s">
        <v>213</v>
      </c>
      <c r="F17" s="9" t="s">
        <v>41</v>
      </c>
      <c r="G17" s="9" t="s">
        <v>41</v>
      </c>
      <c r="H17" s="9" t="s">
        <v>41</v>
      </c>
      <c r="I17" s="9" t="s">
        <v>255</v>
      </c>
    </row>
    <row r="18" spans="1:9" x14ac:dyDescent="0.25">
      <c r="A18" s="8" t="s">
        <v>258</v>
      </c>
      <c r="B18" s="9" t="s">
        <v>226</v>
      </c>
      <c r="C18" s="9" t="s">
        <v>259</v>
      </c>
      <c r="D18" s="9" t="s">
        <v>247</v>
      </c>
      <c r="E18" s="9" t="s">
        <v>213</v>
      </c>
      <c r="F18" s="9" t="s">
        <v>41</v>
      </c>
      <c r="G18" s="9" t="s">
        <v>41</v>
      </c>
      <c r="H18" s="9" t="s">
        <v>41</v>
      </c>
      <c r="I18" s="9" t="s">
        <v>260</v>
      </c>
    </row>
    <row r="19" spans="1:9" x14ac:dyDescent="0.25">
      <c r="A19" s="8" t="s">
        <v>261</v>
      </c>
      <c r="B19" s="9" t="s">
        <v>226</v>
      </c>
      <c r="C19" s="9" t="s">
        <v>262</v>
      </c>
      <c r="D19" s="9" t="s">
        <v>247</v>
      </c>
      <c r="E19" s="9" t="s">
        <v>213</v>
      </c>
      <c r="F19" s="9" t="s">
        <v>41</v>
      </c>
      <c r="G19" s="9" t="s">
        <v>41</v>
      </c>
      <c r="H19" s="9" t="s">
        <v>41</v>
      </c>
      <c r="I19" s="9" t="s">
        <v>260</v>
      </c>
    </row>
    <row r="21" spans="1:9" x14ac:dyDescent="0.25">
      <c r="A21" s="15" t="s">
        <v>263</v>
      </c>
    </row>
    <row r="22" spans="1:9" x14ac:dyDescent="0.25">
      <c r="A22" s="6" t="s">
        <v>264</v>
      </c>
    </row>
    <row r="24" spans="1:9" x14ac:dyDescent="0.25">
      <c r="A24" s="15" t="s">
        <v>265</v>
      </c>
    </row>
    <row r="25" spans="1:9" x14ac:dyDescent="0.25">
      <c r="A25" s="17" t="s">
        <v>23</v>
      </c>
      <c r="B25" s="17" t="s">
        <v>165</v>
      </c>
      <c r="C25" s="17" t="s">
        <v>27</v>
      </c>
      <c r="D25" s="17" t="s">
        <v>28</v>
      </c>
    </row>
    <row r="26" spans="1:9" ht="25.5" x14ac:dyDescent="0.25">
      <c r="A26" s="8" t="s">
        <v>40</v>
      </c>
      <c r="B26" s="9" t="s">
        <v>167</v>
      </c>
      <c r="C26" s="9" t="s">
        <v>222</v>
      </c>
      <c r="D26" s="9" t="s">
        <v>266</v>
      </c>
    </row>
    <row r="27" spans="1:9" ht="51" x14ac:dyDescent="0.25">
      <c r="A27" s="8" t="s">
        <v>47</v>
      </c>
      <c r="B27" s="9" t="s">
        <v>168</v>
      </c>
      <c r="C27" s="9" t="s">
        <v>219</v>
      </c>
      <c r="D27" s="9" t="s">
        <v>267</v>
      </c>
    </row>
    <row r="28" spans="1:9" ht="25.5" x14ac:dyDescent="0.25">
      <c r="A28" s="8" t="s">
        <v>71</v>
      </c>
      <c r="B28" s="9" t="s">
        <v>169</v>
      </c>
      <c r="C28" s="9" t="s">
        <v>268</v>
      </c>
      <c r="D28" s="9" t="s">
        <v>269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47"/>
  <sheetViews>
    <sheetView workbookViewId="0"/>
  </sheetViews>
  <sheetFormatPr defaultRowHeight="15" x14ac:dyDescent="0.25"/>
  <cols>
    <col min="1" max="1" width="6.42578125" bestFit="1" customWidth="1"/>
    <col min="2" max="2" width="11" bestFit="1" customWidth="1"/>
    <col min="3" max="3" width="15.7109375" bestFit="1" customWidth="1"/>
    <col min="4" max="4" width="15.28515625" bestFit="1" customWidth="1"/>
    <col min="5" max="5" width="65.140625" bestFit="1" customWidth="1"/>
    <col min="6" max="6" width="81.140625" bestFit="1" customWidth="1"/>
    <col min="7" max="7" width="15.5703125" bestFit="1" customWidth="1"/>
  </cols>
  <sheetData>
    <row r="1" spans="1:7" x14ac:dyDescent="0.25">
      <c r="A1" t="s">
        <v>20</v>
      </c>
      <c r="B1" t="s">
        <v>29</v>
      </c>
      <c r="C1" t="s">
        <v>32</v>
      </c>
      <c r="D1" t="s">
        <v>34</v>
      </c>
      <c r="E1" t="s">
        <v>35</v>
      </c>
      <c r="F1" t="s">
        <v>36</v>
      </c>
      <c r="G1" t="s">
        <v>270</v>
      </c>
    </row>
    <row r="2" spans="1:7" x14ac:dyDescent="0.25">
      <c r="A2" s="18" t="s">
        <v>38</v>
      </c>
      <c r="B2" s="18" t="s">
        <v>153</v>
      </c>
      <c r="C2" s="18" t="s">
        <v>230</v>
      </c>
      <c r="D2" s="18" t="s">
        <v>215</v>
      </c>
      <c r="E2" s="18" t="s">
        <v>271</v>
      </c>
      <c r="F2" s="18" t="s">
        <v>272</v>
      </c>
      <c r="G2" s="18" t="s">
        <v>273</v>
      </c>
    </row>
    <row r="3" spans="1:7" x14ac:dyDescent="0.25">
      <c r="A3" s="18" t="s">
        <v>42</v>
      </c>
      <c r="B3" s="18" t="s">
        <v>153</v>
      </c>
      <c r="C3" s="18" t="s">
        <v>225</v>
      </c>
      <c r="D3" s="18" t="s">
        <v>215</v>
      </c>
      <c r="E3" s="18" t="s">
        <v>274</v>
      </c>
      <c r="F3" s="18" t="s">
        <v>275</v>
      </c>
      <c r="G3" s="18" t="s">
        <v>273</v>
      </c>
    </row>
    <row r="4" spans="1:7" x14ac:dyDescent="0.25">
      <c r="A4" s="18" t="s">
        <v>45</v>
      </c>
      <c r="B4" s="18" t="s">
        <v>153</v>
      </c>
      <c r="C4" s="18" t="s">
        <v>225</v>
      </c>
      <c r="D4" s="18" t="s">
        <v>215</v>
      </c>
      <c r="E4" s="18" t="s">
        <v>276</v>
      </c>
      <c r="F4" s="18" t="s">
        <v>277</v>
      </c>
      <c r="G4" s="18" t="s">
        <v>273</v>
      </c>
    </row>
    <row r="5" spans="1:7" x14ac:dyDescent="0.25">
      <c r="A5" s="18" t="s">
        <v>49</v>
      </c>
      <c r="B5" s="18" t="s">
        <v>153</v>
      </c>
      <c r="C5" s="18" t="s">
        <v>225</v>
      </c>
      <c r="D5" s="18" t="s">
        <v>215</v>
      </c>
      <c r="E5" s="18" t="s">
        <v>278</v>
      </c>
      <c r="F5" s="18" t="s">
        <v>279</v>
      </c>
      <c r="G5" s="18" t="s">
        <v>273</v>
      </c>
    </row>
    <row r="6" spans="1:7" x14ac:dyDescent="0.25">
      <c r="A6" s="18" t="s">
        <v>51</v>
      </c>
      <c r="B6" s="18" t="s">
        <v>153</v>
      </c>
      <c r="C6" s="18" t="s">
        <v>225</v>
      </c>
      <c r="D6" s="18" t="s">
        <v>215</v>
      </c>
      <c r="E6" s="18" t="s">
        <v>280</v>
      </c>
      <c r="F6" s="18" t="s">
        <v>281</v>
      </c>
      <c r="G6" s="18" t="s">
        <v>273</v>
      </c>
    </row>
    <row r="7" spans="1:7" x14ac:dyDescent="0.25">
      <c r="A7" s="18" t="s">
        <v>53</v>
      </c>
      <c r="B7" s="18" t="s">
        <v>153</v>
      </c>
      <c r="C7" s="18" t="s">
        <v>225</v>
      </c>
      <c r="D7" s="18" t="s">
        <v>215</v>
      </c>
      <c r="E7" s="18" t="s">
        <v>282</v>
      </c>
      <c r="F7" s="18" t="s">
        <v>283</v>
      </c>
      <c r="G7" s="18" t="s">
        <v>273</v>
      </c>
    </row>
    <row r="8" spans="1:7" x14ac:dyDescent="0.25">
      <c r="A8" s="18" t="s">
        <v>56</v>
      </c>
      <c r="B8" s="18" t="s">
        <v>153</v>
      </c>
      <c r="C8" s="18" t="s">
        <v>219</v>
      </c>
      <c r="D8" s="18" t="s">
        <v>215</v>
      </c>
      <c r="E8" s="18" t="s">
        <v>284</v>
      </c>
      <c r="F8" s="18" t="s">
        <v>285</v>
      </c>
      <c r="G8" s="18" t="s">
        <v>273</v>
      </c>
    </row>
    <row r="9" spans="1:7" x14ac:dyDescent="0.25">
      <c r="A9" s="18" t="s">
        <v>58</v>
      </c>
      <c r="B9" s="18" t="s">
        <v>153</v>
      </c>
      <c r="C9" s="18" t="s">
        <v>222</v>
      </c>
      <c r="D9" s="18" t="s">
        <v>215</v>
      </c>
      <c r="E9" s="18" t="s">
        <v>286</v>
      </c>
      <c r="F9" s="18" t="s">
        <v>287</v>
      </c>
      <c r="G9" s="18" t="s">
        <v>273</v>
      </c>
    </row>
    <row r="10" spans="1:7" x14ac:dyDescent="0.25">
      <c r="A10" s="18" t="s">
        <v>60</v>
      </c>
      <c r="B10" s="18" t="s">
        <v>153</v>
      </c>
      <c r="C10" s="18" t="s">
        <v>225</v>
      </c>
      <c r="D10" s="18" t="s">
        <v>215</v>
      </c>
      <c r="E10" s="18" t="s">
        <v>288</v>
      </c>
      <c r="F10" s="18" t="s">
        <v>289</v>
      </c>
      <c r="G10" s="18" t="s">
        <v>273</v>
      </c>
    </row>
    <row r="11" spans="1:7" x14ac:dyDescent="0.25">
      <c r="A11" s="18" t="s">
        <v>62</v>
      </c>
      <c r="B11" s="18" t="s">
        <v>153</v>
      </c>
      <c r="C11" s="18" t="s">
        <v>219</v>
      </c>
      <c r="D11" s="18" t="s">
        <v>215</v>
      </c>
      <c r="E11" s="18" t="s">
        <v>290</v>
      </c>
      <c r="F11" s="18" t="s">
        <v>291</v>
      </c>
      <c r="G11" s="18" t="s">
        <v>273</v>
      </c>
    </row>
    <row r="12" spans="1:7" x14ac:dyDescent="0.25">
      <c r="A12" s="18" t="s">
        <v>64</v>
      </c>
      <c r="B12" s="18" t="s">
        <v>153</v>
      </c>
      <c r="C12" s="18" t="s">
        <v>225</v>
      </c>
      <c r="D12" s="18" t="s">
        <v>215</v>
      </c>
      <c r="E12" s="18" t="s">
        <v>292</v>
      </c>
      <c r="F12" s="18" t="s">
        <v>293</v>
      </c>
      <c r="G12" s="18" t="s">
        <v>273</v>
      </c>
    </row>
    <row r="13" spans="1:7" x14ac:dyDescent="0.25">
      <c r="A13" s="18" t="s">
        <v>66</v>
      </c>
      <c r="B13" s="18" t="s">
        <v>153</v>
      </c>
      <c r="C13" s="18" t="s">
        <v>234</v>
      </c>
      <c r="D13" s="18" t="s">
        <v>273</v>
      </c>
      <c r="E13" s="18" t="s">
        <v>294</v>
      </c>
      <c r="F13" s="18" t="s">
        <v>295</v>
      </c>
      <c r="G13" s="18" t="s">
        <v>273</v>
      </c>
    </row>
    <row r="14" spans="1:7" x14ac:dyDescent="0.25">
      <c r="A14" s="18" t="s">
        <v>69</v>
      </c>
      <c r="B14" s="18" t="s">
        <v>153</v>
      </c>
      <c r="C14" s="18" t="s">
        <v>215</v>
      </c>
      <c r="D14" s="18" t="s">
        <v>215</v>
      </c>
      <c r="E14" s="18" t="s">
        <v>296</v>
      </c>
      <c r="F14" s="18" t="s">
        <v>297</v>
      </c>
      <c r="G14" s="18" t="s">
        <v>273</v>
      </c>
    </row>
    <row r="15" spans="1:7" x14ac:dyDescent="0.25">
      <c r="A15" s="18" t="s">
        <v>74</v>
      </c>
      <c r="B15" s="18" t="s">
        <v>153</v>
      </c>
      <c r="C15" s="18" t="s">
        <v>225</v>
      </c>
      <c r="D15" s="18" t="s">
        <v>215</v>
      </c>
      <c r="E15" s="18" t="s">
        <v>298</v>
      </c>
      <c r="F15" s="18" t="s">
        <v>299</v>
      </c>
      <c r="G15" s="18" t="s">
        <v>273</v>
      </c>
    </row>
    <row r="16" spans="1:7" x14ac:dyDescent="0.25">
      <c r="A16" s="18" t="s">
        <v>76</v>
      </c>
      <c r="B16" s="18" t="s">
        <v>153</v>
      </c>
      <c r="C16" s="18" t="s">
        <v>219</v>
      </c>
      <c r="D16" s="18" t="s">
        <v>273</v>
      </c>
      <c r="E16" s="18" t="s">
        <v>300</v>
      </c>
      <c r="F16" s="18" t="s">
        <v>301</v>
      </c>
      <c r="G16" s="18" t="s">
        <v>273</v>
      </c>
    </row>
    <row r="17" spans="1:7" x14ac:dyDescent="0.25">
      <c r="A17" s="18" t="s">
        <v>78</v>
      </c>
      <c r="B17" s="18" t="s">
        <v>153</v>
      </c>
      <c r="C17" s="18" t="s">
        <v>215</v>
      </c>
      <c r="D17" s="18" t="s">
        <v>215</v>
      </c>
      <c r="E17" s="18" t="s">
        <v>302</v>
      </c>
      <c r="F17" s="18" t="s">
        <v>303</v>
      </c>
      <c r="G17" s="18" t="s">
        <v>304</v>
      </c>
    </row>
    <row r="18" spans="1:7" x14ac:dyDescent="0.25">
      <c r="A18" s="18" t="s">
        <v>80</v>
      </c>
      <c r="B18" s="18" t="s">
        <v>153</v>
      </c>
      <c r="C18" s="18" t="s">
        <v>225</v>
      </c>
      <c r="D18" s="18" t="s">
        <v>215</v>
      </c>
      <c r="E18" s="18" t="s">
        <v>305</v>
      </c>
      <c r="F18" s="18" t="s">
        <v>306</v>
      </c>
      <c r="G18" s="18" t="s">
        <v>307</v>
      </c>
    </row>
    <row r="19" spans="1:7" x14ac:dyDescent="0.25">
      <c r="A19" s="18" t="s">
        <v>82</v>
      </c>
      <c r="B19" s="18" t="s">
        <v>153</v>
      </c>
      <c r="C19" s="18" t="s">
        <v>225</v>
      </c>
      <c r="D19" s="18" t="s">
        <v>215</v>
      </c>
      <c r="E19" s="18" t="s">
        <v>308</v>
      </c>
      <c r="F19" s="18" t="s">
        <v>309</v>
      </c>
      <c r="G19" s="18" t="s">
        <v>310</v>
      </c>
    </row>
    <row r="20" spans="1:7" x14ac:dyDescent="0.25">
      <c r="A20" s="18" t="s">
        <v>84</v>
      </c>
      <c r="B20" s="18" t="s">
        <v>153</v>
      </c>
      <c r="C20" s="18" t="s">
        <v>219</v>
      </c>
      <c r="D20" s="18" t="s">
        <v>215</v>
      </c>
      <c r="E20" s="18" t="s">
        <v>311</v>
      </c>
      <c r="F20" s="18" t="s">
        <v>312</v>
      </c>
      <c r="G20" s="18" t="s">
        <v>313</v>
      </c>
    </row>
    <row r="21" spans="1:7" x14ac:dyDescent="0.25">
      <c r="A21" s="18" t="s">
        <v>86</v>
      </c>
      <c r="B21" s="18" t="s">
        <v>153</v>
      </c>
      <c r="C21" s="18" t="s">
        <v>215</v>
      </c>
      <c r="D21" s="18" t="s">
        <v>215</v>
      </c>
      <c r="E21" s="18" t="s">
        <v>314</v>
      </c>
      <c r="F21" s="18" t="s">
        <v>315</v>
      </c>
      <c r="G21" s="18" t="s">
        <v>316</v>
      </c>
    </row>
    <row r="22" spans="1:7" x14ac:dyDescent="0.25">
      <c r="A22" s="18" t="s">
        <v>88</v>
      </c>
      <c r="B22" s="18" t="s">
        <v>153</v>
      </c>
      <c r="C22" s="18" t="s">
        <v>215</v>
      </c>
      <c r="D22" s="18" t="s">
        <v>215</v>
      </c>
      <c r="E22" s="18" t="s">
        <v>317</v>
      </c>
      <c r="F22" s="18" t="s">
        <v>318</v>
      </c>
      <c r="G22" s="18" t="s">
        <v>319</v>
      </c>
    </row>
    <row r="23" spans="1:7" x14ac:dyDescent="0.25">
      <c r="A23" s="18" t="s">
        <v>90</v>
      </c>
      <c r="B23" s="18" t="s">
        <v>153</v>
      </c>
      <c r="C23" s="18" t="s">
        <v>215</v>
      </c>
      <c r="D23" s="18" t="s">
        <v>215</v>
      </c>
      <c r="E23" s="18" t="s">
        <v>320</v>
      </c>
      <c r="F23" s="18" t="s">
        <v>321</v>
      </c>
      <c r="G23" s="18" t="s">
        <v>322</v>
      </c>
    </row>
    <row r="24" spans="1:7" x14ac:dyDescent="0.25">
      <c r="A24" s="18" t="s">
        <v>93</v>
      </c>
      <c r="B24" s="18" t="s">
        <v>153</v>
      </c>
      <c r="C24" s="18" t="s">
        <v>225</v>
      </c>
      <c r="D24" s="18" t="s">
        <v>215</v>
      </c>
      <c r="E24" s="18" t="s">
        <v>323</v>
      </c>
      <c r="F24" s="18" t="s">
        <v>324</v>
      </c>
      <c r="G24" s="18" t="s">
        <v>325</v>
      </c>
    </row>
    <row r="25" spans="1:7" x14ac:dyDescent="0.25">
      <c r="A25" s="18" t="s">
        <v>95</v>
      </c>
      <c r="B25" s="18" t="s">
        <v>153</v>
      </c>
      <c r="C25" s="18" t="s">
        <v>225</v>
      </c>
      <c r="D25" s="18" t="s">
        <v>215</v>
      </c>
      <c r="E25" s="18" t="s">
        <v>326</v>
      </c>
      <c r="F25" s="18" t="s">
        <v>327</v>
      </c>
      <c r="G25" s="18" t="s">
        <v>328</v>
      </c>
    </row>
    <row r="26" spans="1:7" x14ac:dyDescent="0.25">
      <c r="A26" s="18" t="s">
        <v>98</v>
      </c>
      <c r="B26" s="18" t="s">
        <v>153</v>
      </c>
      <c r="C26" s="18" t="s">
        <v>219</v>
      </c>
      <c r="D26" s="18" t="s">
        <v>215</v>
      </c>
      <c r="E26" s="18" t="s">
        <v>329</v>
      </c>
      <c r="F26" s="18" t="s">
        <v>330</v>
      </c>
      <c r="G26" s="18" t="s">
        <v>331</v>
      </c>
    </row>
    <row r="27" spans="1:7" x14ac:dyDescent="0.25">
      <c r="A27" s="18" t="s">
        <v>101</v>
      </c>
      <c r="B27" s="18" t="s">
        <v>153</v>
      </c>
      <c r="C27" s="18" t="s">
        <v>215</v>
      </c>
      <c r="D27" s="18" t="s">
        <v>215</v>
      </c>
      <c r="E27" s="18" t="s">
        <v>332</v>
      </c>
      <c r="F27" s="18" t="s">
        <v>333</v>
      </c>
      <c r="G27" s="18" t="s">
        <v>334</v>
      </c>
    </row>
    <row r="28" spans="1:7" x14ac:dyDescent="0.25">
      <c r="A28" s="18" t="s">
        <v>103</v>
      </c>
      <c r="B28" s="18" t="s">
        <v>153</v>
      </c>
      <c r="C28" s="18" t="s">
        <v>225</v>
      </c>
      <c r="D28" s="18" t="s">
        <v>215</v>
      </c>
      <c r="E28" s="18" t="s">
        <v>335</v>
      </c>
      <c r="F28" s="18" t="s">
        <v>336</v>
      </c>
      <c r="G28" s="18" t="s">
        <v>337</v>
      </c>
    </row>
    <row r="29" spans="1:7" x14ac:dyDescent="0.25">
      <c r="A29" s="18" t="s">
        <v>105</v>
      </c>
      <c r="B29" s="18" t="s">
        <v>153</v>
      </c>
      <c r="C29" s="18" t="s">
        <v>219</v>
      </c>
      <c r="D29" s="18" t="s">
        <v>215</v>
      </c>
      <c r="E29" s="18" t="s">
        <v>338</v>
      </c>
      <c r="F29" s="18" t="s">
        <v>339</v>
      </c>
      <c r="G29" s="18" t="s">
        <v>340</v>
      </c>
    </row>
    <row r="30" spans="1:7" x14ac:dyDescent="0.25">
      <c r="A30" s="18" t="s">
        <v>107</v>
      </c>
      <c r="B30" s="18" t="s">
        <v>153</v>
      </c>
      <c r="C30" s="18" t="s">
        <v>225</v>
      </c>
      <c r="D30" s="18" t="s">
        <v>215</v>
      </c>
      <c r="E30" s="18" t="s">
        <v>341</v>
      </c>
      <c r="F30" s="18" t="s">
        <v>342</v>
      </c>
      <c r="G30" s="18" t="s">
        <v>343</v>
      </c>
    </row>
    <row r="31" spans="1:7" x14ac:dyDescent="0.25">
      <c r="A31" s="18" t="s">
        <v>109</v>
      </c>
      <c r="B31" s="18" t="s">
        <v>153</v>
      </c>
      <c r="C31" s="18" t="s">
        <v>215</v>
      </c>
      <c r="D31" s="18" t="s">
        <v>215</v>
      </c>
      <c r="E31" s="18" t="s">
        <v>344</v>
      </c>
      <c r="F31" s="18" t="s">
        <v>345</v>
      </c>
      <c r="G31" s="18" t="s">
        <v>346</v>
      </c>
    </row>
    <row r="32" spans="1:7" x14ac:dyDescent="0.25">
      <c r="A32" s="18" t="s">
        <v>111</v>
      </c>
      <c r="B32" s="18" t="s">
        <v>153</v>
      </c>
      <c r="C32" s="18" t="s">
        <v>215</v>
      </c>
      <c r="D32" s="18" t="s">
        <v>215</v>
      </c>
      <c r="E32" s="18" t="s">
        <v>347</v>
      </c>
      <c r="F32" s="18" t="s">
        <v>348</v>
      </c>
      <c r="G32" s="18" t="s">
        <v>349</v>
      </c>
    </row>
    <row r="33" spans="1:7" x14ac:dyDescent="0.25">
      <c r="A33" s="18" t="s">
        <v>113</v>
      </c>
      <c r="B33" s="18" t="s">
        <v>153</v>
      </c>
      <c r="C33" s="18" t="s">
        <v>215</v>
      </c>
      <c r="D33" s="18" t="s">
        <v>215</v>
      </c>
      <c r="E33" s="18" t="s">
        <v>350</v>
      </c>
      <c r="F33" s="18" t="s">
        <v>351</v>
      </c>
      <c r="G33" s="18" t="s">
        <v>352</v>
      </c>
    </row>
    <row r="34" spans="1:7" x14ac:dyDescent="0.25">
      <c r="A34" s="18" t="s">
        <v>116</v>
      </c>
      <c r="B34" s="18" t="s">
        <v>153</v>
      </c>
      <c r="C34" s="18" t="s">
        <v>225</v>
      </c>
      <c r="D34" s="18" t="s">
        <v>215</v>
      </c>
      <c r="E34" s="18" t="s">
        <v>353</v>
      </c>
      <c r="F34" s="18" t="s">
        <v>354</v>
      </c>
      <c r="G34" s="18" t="s">
        <v>355</v>
      </c>
    </row>
    <row r="35" spans="1:7" x14ac:dyDescent="0.25">
      <c r="A35" s="18" t="s">
        <v>118</v>
      </c>
      <c r="B35" s="18" t="s">
        <v>153</v>
      </c>
      <c r="C35" s="18" t="s">
        <v>219</v>
      </c>
      <c r="D35" s="18" t="s">
        <v>215</v>
      </c>
      <c r="E35" s="18" t="s">
        <v>356</v>
      </c>
      <c r="F35" s="18" t="s">
        <v>357</v>
      </c>
      <c r="G35" s="18" t="s">
        <v>358</v>
      </c>
    </row>
    <row r="36" spans="1:7" x14ac:dyDescent="0.25">
      <c r="A36" s="18" t="s">
        <v>120</v>
      </c>
      <c r="B36" s="18" t="s">
        <v>153</v>
      </c>
      <c r="C36" s="18" t="s">
        <v>219</v>
      </c>
      <c r="D36" s="18" t="s">
        <v>215</v>
      </c>
      <c r="E36" s="18" t="s">
        <v>356</v>
      </c>
      <c r="F36" s="18" t="s">
        <v>359</v>
      </c>
      <c r="G36" s="18" t="s">
        <v>358</v>
      </c>
    </row>
    <row r="37" spans="1:7" x14ac:dyDescent="0.25">
      <c r="A37" s="18" t="s">
        <v>122</v>
      </c>
      <c r="B37" s="18" t="s">
        <v>153</v>
      </c>
      <c r="C37" s="18" t="s">
        <v>219</v>
      </c>
      <c r="D37" s="18" t="s">
        <v>215</v>
      </c>
      <c r="E37" s="18" t="s">
        <v>360</v>
      </c>
      <c r="F37" s="18" t="s">
        <v>361</v>
      </c>
      <c r="G37" s="18" t="s">
        <v>362</v>
      </c>
    </row>
    <row r="38" spans="1:7" x14ac:dyDescent="0.25">
      <c r="A38" s="18" t="s">
        <v>124</v>
      </c>
      <c r="B38" s="18" t="s">
        <v>153</v>
      </c>
      <c r="C38" s="18" t="s">
        <v>215</v>
      </c>
      <c r="D38" s="18" t="s">
        <v>215</v>
      </c>
      <c r="E38" s="18" t="s">
        <v>363</v>
      </c>
      <c r="F38" s="18" t="s">
        <v>364</v>
      </c>
      <c r="G38" s="18" t="s">
        <v>365</v>
      </c>
    </row>
    <row r="39" spans="1:7" x14ac:dyDescent="0.25">
      <c r="A39" s="18" t="s">
        <v>126</v>
      </c>
      <c r="B39" s="18" t="s">
        <v>153</v>
      </c>
      <c r="C39" s="18" t="s">
        <v>234</v>
      </c>
      <c r="D39" s="18" t="s">
        <v>215</v>
      </c>
      <c r="E39" s="18" t="s">
        <v>366</v>
      </c>
      <c r="F39" s="18" t="s">
        <v>367</v>
      </c>
      <c r="G39" s="18" t="s">
        <v>368</v>
      </c>
    </row>
    <row r="40" spans="1:7" x14ac:dyDescent="0.25">
      <c r="A40" s="18" t="s">
        <v>128</v>
      </c>
      <c r="B40" s="18" t="s">
        <v>153</v>
      </c>
      <c r="C40" s="18" t="s">
        <v>219</v>
      </c>
      <c r="D40" s="18" t="s">
        <v>215</v>
      </c>
      <c r="E40" s="18" t="s">
        <v>369</v>
      </c>
      <c r="F40" s="18" t="s">
        <v>370</v>
      </c>
      <c r="G40" s="18" t="s">
        <v>371</v>
      </c>
    </row>
    <row r="41" spans="1:7" x14ac:dyDescent="0.25">
      <c r="A41" s="18" t="s">
        <v>130</v>
      </c>
      <c r="B41" s="18" t="s">
        <v>372</v>
      </c>
      <c r="C41" s="18" t="s">
        <v>273</v>
      </c>
      <c r="D41" s="18" t="s">
        <v>273</v>
      </c>
      <c r="E41" s="18" t="s">
        <v>273</v>
      </c>
      <c r="F41" s="18" t="s">
        <v>273</v>
      </c>
      <c r="G41" s="18" t="s">
        <v>273</v>
      </c>
    </row>
    <row r="42" spans="1:7" x14ac:dyDescent="0.25">
      <c r="A42" s="18" t="s">
        <v>135</v>
      </c>
      <c r="B42" s="18" t="s">
        <v>372</v>
      </c>
      <c r="C42" s="18" t="s">
        <v>273</v>
      </c>
      <c r="D42" s="18" t="s">
        <v>273</v>
      </c>
      <c r="E42" s="18" t="s">
        <v>273</v>
      </c>
      <c r="F42" s="18" t="s">
        <v>273</v>
      </c>
      <c r="G42" s="18" t="s">
        <v>273</v>
      </c>
    </row>
    <row r="43" spans="1:7" x14ac:dyDescent="0.25">
      <c r="A43" s="18" t="s">
        <v>138</v>
      </c>
      <c r="B43" s="18" t="s">
        <v>372</v>
      </c>
      <c r="C43" s="18" t="s">
        <v>273</v>
      </c>
      <c r="D43" s="18" t="s">
        <v>273</v>
      </c>
      <c r="E43" s="18" t="s">
        <v>273</v>
      </c>
      <c r="F43" s="18" t="s">
        <v>273</v>
      </c>
      <c r="G43" s="18" t="s">
        <v>273</v>
      </c>
    </row>
    <row r="44" spans="1:7" x14ac:dyDescent="0.25">
      <c r="A44" s="18" t="s">
        <v>140</v>
      </c>
      <c r="B44" s="18" t="s">
        <v>153</v>
      </c>
      <c r="C44" s="18" t="s">
        <v>225</v>
      </c>
      <c r="D44" s="18" t="s">
        <v>273</v>
      </c>
      <c r="E44" s="18" t="s">
        <v>373</v>
      </c>
      <c r="F44" s="18" t="s">
        <v>273</v>
      </c>
      <c r="G44" s="18" t="s">
        <v>374</v>
      </c>
    </row>
    <row r="45" spans="1:7" x14ac:dyDescent="0.25">
      <c r="A45" s="18" t="s">
        <v>142</v>
      </c>
      <c r="B45" s="18" t="s">
        <v>372</v>
      </c>
      <c r="C45" s="18" t="s">
        <v>273</v>
      </c>
      <c r="D45" s="18" t="s">
        <v>273</v>
      </c>
      <c r="E45" s="18" t="s">
        <v>273</v>
      </c>
      <c r="F45" s="18" t="s">
        <v>273</v>
      </c>
      <c r="G45" s="18" t="s">
        <v>273</v>
      </c>
    </row>
    <row r="46" spans="1:7" x14ac:dyDescent="0.25">
      <c r="A46" s="18" t="s">
        <v>145</v>
      </c>
      <c r="B46" s="18" t="s">
        <v>372</v>
      </c>
      <c r="C46" s="18" t="s">
        <v>273</v>
      </c>
      <c r="D46" s="18" t="s">
        <v>273</v>
      </c>
      <c r="E46" s="18" t="s">
        <v>273</v>
      </c>
      <c r="F46" s="18" t="s">
        <v>273</v>
      </c>
      <c r="G46" s="18" t="s">
        <v>273</v>
      </c>
    </row>
    <row r="47" spans="1:7" x14ac:dyDescent="0.25">
      <c r="A47" s="18" t="s">
        <v>147</v>
      </c>
      <c r="B47" s="18" t="s">
        <v>372</v>
      </c>
      <c r="C47" s="18" t="s">
        <v>273</v>
      </c>
      <c r="D47" s="18" t="s">
        <v>273</v>
      </c>
      <c r="E47" s="18" t="s">
        <v>273</v>
      </c>
      <c r="F47" s="18" t="s">
        <v>273</v>
      </c>
      <c r="G47" s="18" t="s">
        <v>273</v>
      </c>
    </row>
  </sheetData>
  <phoneticPr fontId="6" type="noConversion"/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5"/>
  <sheetViews>
    <sheetView workbookViewId="0"/>
  </sheetViews>
  <sheetFormatPr defaultRowHeight="15" x14ac:dyDescent="0.25"/>
  <cols>
    <col min="1" max="1" width="8.5703125" bestFit="1" customWidth="1"/>
    <col min="2" max="2" width="8.85546875" bestFit="1" customWidth="1"/>
    <col min="3" max="3" width="10.42578125" bestFit="1" customWidth="1"/>
    <col min="4" max="4" width="28.42578125" bestFit="1" customWidth="1"/>
  </cols>
  <sheetData>
    <row r="1" spans="1:4" x14ac:dyDescent="0.25">
      <c r="A1" t="s">
        <v>174</v>
      </c>
      <c r="B1" t="s">
        <v>176</v>
      </c>
      <c r="C1" t="s">
        <v>177</v>
      </c>
      <c r="D1" t="s">
        <v>36</v>
      </c>
    </row>
    <row r="2" spans="1:4" x14ac:dyDescent="0.25">
      <c r="A2" s="18" t="s">
        <v>375</v>
      </c>
      <c r="B2" s="18" t="s">
        <v>376</v>
      </c>
      <c r="C2" s="18" t="s">
        <v>377</v>
      </c>
      <c r="D2" s="18" t="s">
        <v>378</v>
      </c>
    </row>
    <row r="3" spans="1:4" x14ac:dyDescent="0.25">
      <c r="A3" s="18" t="s">
        <v>379</v>
      </c>
      <c r="B3" s="18" t="s">
        <v>376</v>
      </c>
      <c r="C3" s="18" t="s">
        <v>377</v>
      </c>
      <c r="D3" s="18" t="s">
        <v>378</v>
      </c>
    </row>
    <row r="4" spans="1:4" x14ac:dyDescent="0.25">
      <c r="A4" s="18" t="s">
        <v>380</v>
      </c>
      <c r="B4" s="18" t="s">
        <v>381</v>
      </c>
      <c r="C4" s="18" t="s">
        <v>273</v>
      </c>
      <c r="D4" s="18" t="s">
        <v>273</v>
      </c>
    </row>
    <row r="5" spans="1:4" x14ac:dyDescent="0.25">
      <c r="A5" s="18" t="s">
        <v>382</v>
      </c>
      <c r="B5" s="18" t="s">
        <v>381</v>
      </c>
      <c r="C5" s="18" t="s">
        <v>273</v>
      </c>
      <c r="D5" s="18" t="s">
        <v>273</v>
      </c>
    </row>
    <row r="6" spans="1:4" x14ac:dyDescent="0.25">
      <c r="A6" s="18" t="s">
        <v>383</v>
      </c>
      <c r="B6" s="18" t="s">
        <v>381</v>
      </c>
      <c r="C6" s="18" t="s">
        <v>273</v>
      </c>
      <c r="D6" s="18" t="s">
        <v>273</v>
      </c>
    </row>
    <row r="7" spans="1:4" x14ac:dyDescent="0.25">
      <c r="A7" s="18" t="s">
        <v>384</v>
      </c>
      <c r="B7" s="18" t="s">
        <v>381</v>
      </c>
      <c r="C7" s="18" t="s">
        <v>273</v>
      </c>
      <c r="D7" s="18" t="s">
        <v>273</v>
      </c>
    </row>
    <row r="8" spans="1:4" x14ac:dyDescent="0.25">
      <c r="A8" s="18" t="s">
        <v>385</v>
      </c>
      <c r="B8" s="18" t="s">
        <v>376</v>
      </c>
      <c r="C8" s="18" t="s">
        <v>377</v>
      </c>
      <c r="D8" s="18" t="s">
        <v>273</v>
      </c>
    </row>
    <row r="9" spans="1:4" x14ac:dyDescent="0.25">
      <c r="A9" s="18" t="s">
        <v>386</v>
      </c>
      <c r="B9" s="18" t="s">
        <v>376</v>
      </c>
      <c r="C9" s="18" t="s">
        <v>377</v>
      </c>
      <c r="D9" s="18" t="s">
        <v>273</v>
      </c>
    </row>
    <row r="10" spans="1:4" x14ac:dyDescent="0.25">
      <c r="A10" s="18" t="s">
        <v>387</v>
      </c>
      <c r="B10" s="18" t="s">
        <v>381</v>
      </c>
      <c r="C10" s="18" t="s">
        <v>273</v>
      </c>
      <c r="D10" s="18" t="s">
        <v>273</v>
      </c>
    </row>
    <row r="11" spans="1:4" x14ac:dyDescent="0.25">
      <c r="A11" s="18" t="s">
        <v>388</v>
      </c>
      <c r="B11" s="18" t="s">
        <v>381</v>
      </c>
      <c r="C11" s="18" t="s">
        <v>273</v>
      </c>
      <c r="D11" s="18" t="s">
        <v>273</v>
      </c>
    </row>
    <row r="12" spans="1:4" x14ac:dyDescent="0.25">
      <c r="A12" s="18" t="s">
        <v>389</v>
      </c>
      <c r="B12" s="18" t="s">
        <v>381</v>
      </c>
      <c r="C12" s="18" t="s">
        <v>273</v>
      </c>
      <c r="D12" s="18" t="s">
        <v>273</v>
      </c>
    </row>
    <row r="13" spans="1:4" x14ac:dyDescent="0.25">
      <c r="A13" s="18" t="s">
        <v>390</v>
      </c>
      <c r="B13" s="18" t="s">
        <v>381</v>
      </c>
      <c r="C13" s="18" t="s">
        <v>273</v>
      </c>
      <c r="D13" s="18" t="s">
        <v>273</v>
      </c>
    </row>
    <row r="14" spans="1:4" x14ac:dyDescent="0.25">
      <c r="A14" s="18" t="s">
        <v>391</v>
      </c>
      <c r="B14" s="18" t="s">
        <v>381</v>
      </c>
      <c r="C14" s="18" t="s">
        <v>273</v>
      </c>
      <c r="D14" s="18" t="s">
        <v>273</v>
      </c>
    </row>
    <row r="15" spans="1:4" x14ac:dyDescent="0.25">
      <c r="A15" s="18" t="s">
        <v>392</v>
      </c>
      <c r="B15" s="18" t="s">
        <v>381</v>
      </c>
      <c r="C15" s="18" t="s">
        <v>273</v>
      </c>
      <c r="D15" s="18" t="s">
        <v>273</v>
      </c>
    </row>
    <row r="16" spans="1:4" x14ac:dyDescent="0.25">
      <c r="A16" s="18" t="s">
        <v>393</v>
      </c>
      <c r="B16" s="18" t="s">
        <v>381</v>
      </c>
      <c r="C16" s="18" t="s">
        <v>273</v>
      </c>
      <c r="D16" s="18" t="s">
        <v>273</v>
      </c>
    </row>
    <row r="17" spans="1:4" x14ac:dyDescent="0.25">
      <c r="A17" s="18" t="s">
        <v>394</v>
      </c>
      <c r="B17" s="18" t="s">
        <v>381</v>
      </c>
      <c r="C17" s="18" t="s">
        <v>273</v>
      </c>
      <c r="D17" s="18" t="s">
        <v>273</v>
      </c>
    </row>
    <row r="18" spans="1:4" x14ac:dyDescent="0.25">
      <c r="A18" s="18" t="s">
        <v>395</v>
      </c>
      <c r="B18" s="18" t="s">
        <v>381</v>
      </c>
      <c r="C18" s="18" t="s">
        <v>273</v>
      </c>
      <c r="D18" s="18" t="s">
        <v>273</v>
      </c>
    </row>
    <row r="19" spans="1:4" x14ac:dyDescent="0.25">
      <c r="A19" s="18" t="s">
        <v>396</v>
      </c>
      <c r="B19" s="18" t="s">
        <v>381</v>
      </c>
      <c r="C19" s="18" t="s">
        <v>273</v>
      </c>
      <c r="D19" s="18" t="s">
        <v>273</v>
      </c>
    </row>
    <row r="20" spans="1:4" x14ac:dyDescent="0.25">
      <c r="A20" s="18" t="s">
        <v>397</v>
      </c>
      <c r="B20" s="18" t="s">
        <v>381</v>
      </c>
      <c r="C20" s="18" t="s">
        <v>273</v>
      </c>
      <c r="D20" s="18" t="s">
        <v>273</v>
      </c>
    </row>
    <row r="21" spans="1:4" x14ac:dyDescent="0.25">
      <c r="A21" s="18" t="s">
        <v>398</v>
      </c>
      <c r="B21" s="18" t="s">
        <v>381</v>
      </c>
      <c r="C21" s="18" t="s">
        <v>273</v>
      </c>
      <c r="D21" s="18" t="s">
        <v>273</v>
      </c>
    </row>
    <row r="22" spans="1:4" x14ac:dyDescent="0.25">
      <c r="A22" s="18" t="s">
        <v>399</v>
      </c>
      <c r="B22" s="18" t="s">
        <v>381</v>
      </c>
      <c r="C22" s="18" t="s">
        <v>273</v>
      </c>
      <c r="D22" s="18" t="s">
        <v>273</v>
      </c>
    </row>
    <row r="23" spans="1:4" x14ac:dyDescent="0.25">
      <c r="A23" s="18" t="s">
        <v>400</v>
      </c>
      <c r="B23" s="18" t="s">
        <v>381</v>
      </c>
      <c r="C23" s="18" t="s">
        <v>273</v>
      </c>
      <c r="D23" s="18" t="s">
        <v>273</v>
      </c>
    </row>
    <row r="24" spans="1:4" x14ac:dyDescent="0.25">
      <c r="A24" s="18" t="s">
        <v>401</v>
      </c>
      <c r="B24" s="18" t="s">
        <v>381</v>
      </c>
      <c r="C24" s="18" t="s">
        <v>273</v>
      </c>
      <c r="D24" s="18" t="s">
        <v>273</v>
      </c>
    </row>
    <row r="25" spans="1:4" x14ac:dyDescent="0.25">
      <c r="A25" s="18" t="s">
        <v>402</v>
      </c>
      <c r="B25" s="18" t="s">
        <v>381</v>
      </c>
      <c r="C25" s="18" t="s">
        <v>273</v>
      </c>
      <c r="D25" s="18" t="s">
        <v>273</v>
      </c>
    </row>
  </sheetData>
  <phoneticPr fontId="6" type="noConversion"/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ECE9300-E226-47C6-9FB8-5CF6F575E0C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How to use</vt:lpstr>
      <vt:lpstr>Work Packages</vt:lpstr>
      <vt:lpstr>Summary</vt:lpstr>
      <vt:lpstr>Phase Checks</vt:lpstr>
      <vt:lpstr>Models</vt:lpstr>
      <vt:lpstr>StatusData</vt:lpstr>
      <vt:lpstr>ChecksData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</cp:lastModifiedBy>
  <dcterms:created xsi:type="dcterms:W3CDTF">2026-09-26T14:30:09Z</dcterms:created>
  <dcterms:modified xsi:type="dcterms:W3CDTF">2026-09-26T14:30:21Z</dcterms:modified>
</cp:coreProperties>
</file>